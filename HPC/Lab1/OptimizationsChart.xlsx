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<sst xmlns="http://schemas.openxmlformats.org/spreadsheetml/2006/main" count="54" uniqueCount="16">
  <si>
    <t>INPUT UNSOFRTED VALUES</t>
  </si>
  <si>
    <t>Versions:</t>
  </si>
  <si>
    <t>Attemps:</t>
  </si>
  <si>
    <t>O0</t>
  </si>
  <si>
    <t>-fast</t>
  </si>
  <si>
    <t>SORTED VALUES</t>
  </si>
  <si>
    <t>sorted attemps:</t>
  </si>
  <si>
    <t>AVG:</t>
  </si>
  <si>
    <t>ST DEV:</t>
  </si>
  <si>
    <t>AVERAGE AND ST DEV ONLY CALC ATTEMPTS 2-19</t>
  </si>
  <si>
    <t>AVG O0</t>
  </si>
  <si>
    <t>AVG FAST</t>
  </si>
  <si>
    <t>ST DEV O0</t>
  </si>
  <si>
    <t>ST DEV FAST</t>
  </si>
  <si>
    <t>O0 speedup</t>
  </si>
  <si>
    <t>Ofast speedup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</si>
</sst>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1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Runtime per version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Sheet1!$A$51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Sheet1!$B$50:$K$50</c:f>
            </c:strRef>
          </c:cat>
          <c:val>
            <c:numRef>
              <c:f>Sheet1!$B$51:$K$51</c:f>
              <c:numCache/>
            </c:numRef>
          </c:val>
          <c:smooth val="0"/>
        </c:ser>
        <c:ser>
          <c:idx val="1"/>
          <c:order val="1"/>
          <c:tx>
            <c:strRef>
              <c:f>Sheet1!$A$52</c:f>
            </c:strRef>
          </c:tx>
          <c:spPr>
            <a:ln cmpd="sng" w="3810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Sheet1!$B$50:$K$50</c:f>
            </c:strRef>
          </c:cat>
          <c:val>
            <c:numRef>
              <c:f>Sheet1!$B$52:$K$52</c:f>
              <c:numCache/>
            </c:numRef>
          </c:val>
          <c:smooth val="0"/>
        </c:ser>
        <c:axId val="377346049"/>
        <c:axId val="150118615"/>
      </c:lineChart>
      <c:catAx>
        <c:axId val="377346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118615"/>
      </c:catAx>
      <c:valAx>
        <c:axId val="1501186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377346049"/>
      </c:valAx>
      <c:barChart>
        <c:barDir val="col"/>
        <c:ser>
          <c:idx val="2"/>
          <c:order val="2"/>
          <c:tx>
            <c:strRef>
              <c:f>Sheet1!$A$55</c:f>
            </c:strRef>
          </c:tx>
          <c:spPr>
            <a:solidFill>
              <a:srgbClr val="FBBC04">
                <a:alpha val="70196"/>
              </a:srgbClr>
            </a:solidFill>
            <a:ln cmpd="sng">
              <a:solidFill>
                <a:srgbClr val="000000"/>
              </a:solidFill>
            </a:ln>
          </c:spPr>
          <c:cat>
            <c:strRef>
              <c:f>Sheet1!$B$50:$K$50</c:f>
            </c:strRef>
          </c:cat>
          <c:val>
            <c:numRef>
              <c:f>Sheet1!$B$55:$K$55</c:f>
              <c:numCache/>
            </c:numRef>
          </c:val>
        </c:ser>
        <c:ser>
          <c:idx val="3"/>
          <c:order val="3"/>
          <c:tx>
            <c:strRef>
              <c:f>Sheet1!$A$56</c:f>
            </c:strRef>
          </c:tx>
          <c:spPr>
            <a:solidFill>
              <a:srgbClr val="34A853">
                <a:alpha val="70196"/>
              </a:srgbClr>
            </a:solidFill>
            <a:ln cmpd="sng">
              <a:solidFill>
                <a:srgbClr val="000000">
                  <a:alpha val="0"/>
                </a:srgbClr>
              </a:solidFill>
            </a:ln>
          </c:spPr>
          <c:cat>
            <c:strRef>
              <c:f>Sheet1!$B$50:$K$50</c:f>
            </c:strRef>
          </c:cat>
          <c:val>
            <c:numRef>
              <c:f>Sheet1!$B$56:$K$56</c:f>
              <c:numCache/>
            </c:numRef>
          </c:val>
        </c:ser>
        <c:axId val="1611339384"/>
        <c:axId val="2065623366"/>
      </c:barChart>
      <c:catAx>
        <c:axId val="16113393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5623366"/>
      </c:catAx>
      <c:valAx>
        <c:axId val="206562336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2000">
                <a:solidFill>
                  <a:srgbClr val="000000"/>
                </a:solidFill>
                <a:latin typeface="+mn-lt"/>
              </a:defRPr>
            </a:pPr>
          </a:p>
        </c:txPr>
        <c:crossAx val="1611339384"/>
        <c:crosses val="max"/>
      </c:valAx>
    </c:plotArea>
    <c:legend>
      <c:legendPos val="t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O0 runtimes with standard deviation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Sheet1!$A$51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Sheet1!$B$50:$I$50</c:f>
            </c:strRef>
          </c:cat>
          <c:val>
            <c:numRef>
              <c:f>Sheet1!$B$51:$I$51</c:f>
              <c:numCache/>
            </c:numRef>
          </c:val>
        </c:ser>
        <c:ser>
          <c:idx val="1"/>
          <c:order val="1"/>
          <c:tx>
            <c:strRef>
              <c:f>Sheet1!$A$53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Sheet1!$B$50:$I$50</c:f>
            </c:strRef>
          </c:cat>
          <c:val>
            <c:numRef>
              <c:f>Sheet1!$B$53:$I$53</c:f>
              <c:numCache/>
            </c:numRef>
          </c:val>
        </c:ser>
        <c:axId val="1229358931"/>
        <c:axId val="544309694"/>
      </c:barChart>
      <c:catAx>
        <c:axId val="12293589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Versions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4309694"/>
      </c:catAx>
      <c:valAx>
        <c:axId val="5443096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(μSec)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93589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fast runtimes with standard deviation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Sheet1!$A$52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Sheet1!$B$50:$I$50</c:f>
            </c:strRef>
          </c:cat>
          <c:val>
            <c:numRef>
              <c:f>Sheet1!$B$52:$I$52</c:f>
              <c:numCache/>
            </c:numRef>
          </c:val>
        </c:ser>
        <c:ser>
          <c:idx val="1"/>
          <c:order val="1"/>
          <c:tx>
            <c:strRef>
              <c:f>Sheet1!$A$54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cat>
            <c:strRef>
              <c:f>Sheet1!$B$50:$I$50</c:f>
            </c:strRef>
          </c:cat>
          <c:val>
            <c:numRef>
              <c:f>Sheet1!$B$54:$I$54</c:f>
              <c:numCache/>
            </c:numRef>
          </c:val>
        </c:ser>
        <c:axId val="1602997031"/>
        <c:axId val="1366750308"/>
      </c:barChart>
      <c:catAx>
        <c:axId val="1602997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Versions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6750308"/>
      </c:catAx>
      <c:valAx>
        <c:axId val="1366750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(μSec)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29970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59</xdr:row>
      <xdr:rowOff>142875</xdr:rowOff>
    </xdr:from>
    <xdr:ext cx="11068050" cy="6762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295275</xdr:colOff>
      <xdr:row>49</xdr:row>
      <xdr:rowOff>180975</xdr:rowOff>
    </xdr:from>
    <xdr:ext cx="8582025" cy="53054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514350</xdr:colOff>
      <xdr:row>77</xdr:row>
      <xdr:rowOff>47625</xdr:rowOff>
    </xdr:from>
    <xdr:ext cx="8582025" cy="53054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</cols>
  <sheetData>
    <row r="1">
      <c r="A1" s="1" t="s">
        <v>0</v>
      </c>
      <c r="B1" s="1" t="s">
        <v>1</v>
      </c>
    </row>
    <row r="2">
      <c r="A2" s="2"/>
      <c r="B2" s="3">
        <v>0.0</v>
      </c>
      <c r="C2" s="4"/>
      <c r="D2" s="3">
        <v>1.0</v>
      </c>
      <c r="E2" s="4"/>
      <c r="F2" s="3">
        <v>2.0</v>
      </c>
      <c r="G2" s="4"/>
      <c r="H2" s="3">
        <v>3.0</v>
      </c>
      <c r="I2" s="4"/>
      <c r="J2" s="3">
        <v>4.0</v>
      </c>
      <c r="K2" s="4"/>
      <c r="L2" s="3">
        <v>5.0</v>
      </c>
      <c r="M2" s="4"/>
      <c r="N2" s="3">
        <v>6.0</v>
      </c>
      <c r="O2" s="4"/>
      <c r="P2" s="3">
        <v>7.0</v>
      </c>
      <c r="Q2" s="4"/>
      <c r="R2" s="3">
        <v>6.1</v>
      </c>
      <c r="S2" s="4"/>
      <c r="T2" s="3">
        <v>7.1</v>
      </c>
      <c r="U2" s="4"/>
    </row>
    <row r="3">
      <c r="A3" s="2" t="s">
        <v>2</v>
      </c>
      <c r="B3" s="5" t="s">
        <v>3</v>
      </c>
      <c r="C3" s="5" t="s">
        <v>4</v>
      </c>
      <c r="D3" s="6" t="s">
        <v>3</v>
      </c>
      <c r="E3" s="6" t="s">
        <v>4</v>
      </c>
      <c r="F3" s="6" t="s">
        <v>3</v>
      </c>
      <c r="G3" s="6" t="s">
        <v>4</v>
      </c>
      <c r="H3" s="6" t="s">
        <v>3</v>
      </c>
      <c r="I3" s="6" t="s">
        <v>4</v>
      </c>
      <c r="J3" s="6" t="s">
        <v>3</v>
      </c>
      <c r="K3" s="6" t="s">
        <v>4</v>
      </c>
      <c r="L3" s="6" t="s">
        <v>3</v>
      </c>
      <c r="M3" s="6" t="s">
        <v>4</v>
      </c>
      <c r="N3" s="6" t="s">
        <v>3</v>
      </c>
      <c r="O3" s="6" t="s">
        <v>4</v>
      </c>
      <c r="P3" s="6" t="s">
        <v>3</v>
      </c>
      <c r="Q3" s="6" t="s">
        <v>4</v>
      </c>
      <c r="R3" s="6" t="s">
        <v>3</v>
      </c>
      <c r="S3" s="6" t="s">
        <v>4</v>
      </c>
      <c r="T3" s="6" t="s">
        <v>3</v>
      </c>
      <c r="U3" s="6" t="s">
        <v>4</v>
      </c>
    </row>
    <row r="4">
      <c r="A4" s="7">
        <v>1.0</v>
      </c>
      <c r="B4" s="8">
        <v>2.34786</v>
      </c>
      <c r="C4" s="8">
        <v>0.635068</v>
      </c>
      <c r="D4" s="8">
        <v>1.89178</v>
      </c>
      <c r="E4" s="8">
        <v>0.208494</v>
      </c>
      <c r="F4" s="8">
        <v>1.27039</v>
      </c>
      <c r="G4" s="8">
        <v>0.11961</v>
      </c>
      <c r="H4" s="8">
        <v>1.2627</v>
      </c>
      <c r="I4" s="8">
        <v>0.129581</v>
      </c>
      <c r="J4" s="8">
        <v>0.389405</v>
      </c>
      <c r="K4" s="8">
        <v>0.120266</v>
      </c>
      <c r="L4" s="8">
        <v>0.385487</v>
      </c>
      <c r="M4" s="8">
        <v>0.119255</v>
      </c>
      <c r="N4" s="8">
        <v>0.261402</v>
      </c>
      <c r="O4" s="8">
        <v>0.0408586</v>
      </c>
      <c r="P4" s="8">
        <v>0.188939</v>
      </c>
      <c r="Q4" s="8">
        <v>0.077269</v>
      </c>
      <c r="R4" s="8">
        <v>0.254475</v>
      </c>
      <c r="S4" s="8">
        <v>0.0682037</v>
      </c>
      <c r="T4" s="8">
        <v>0.154306</v>
      </c>
      <c r="U4" s="8">
        <v>0.0688638</v>
      </c>
    </row>
    <row r="5">
      <c r="A5" s="7">
        <v>2.0</v>
      </c>
      <c r="B5" s="8">
        <v>2.20515</v>
      </c>
      <c r="C5" s="8">
        <v>0.628041</v>
      </c>
      <c r="D5" s="8">
        <v>1.88722</v>
      </c>
      <c r="E5" s="8">
        <v>0.210445</v>
      </c>
      <c r="F5" s="8">
        <v>1.27181</v>
      </c>
      <c r="G5" s="8">
        <v>0.132538</v>
      </c>
      <c r="H5" s="8">
        <v>1.26105</v>
      </c>
      <c r="I5" s="8">
        <v>0.129797</v>
      </c>
      <c r="J5" s="8">
        <v>0.493698</v>
      </c>
      <c r="K5" s="8">
        <v>0.120762</v>
      </c>
      <c r="L5" s="8">
        <v>0.385448</v>
      </c>
      <c r="M5" s="8">
        <v>0.118383</v>
      </c>
      <c r="N5" s="8">
        <v>0.262406</v>
      </c>
      <c r="O5" s="8">
        <v>0.0398694</v>
      </c>
      <c r="P5" s="8">
        <v>0.188089</v>
      </c>
      <c r="Q5" s="8">
        <v>0.0761872</v>
      </c>
      <c r="R5" s="8">
        <v>0.258479</v>
      </c>
      <c r="S5" s="8">
        <v>0.0670902</v>
      </c>
      <c r="T5" s="8">
        <v>0.153707</v>
      </c>
      <c r="U5" s="8">
        <v>0.0667246</v>
      </c>
    </row>
    <row r="6">
      <c r="A6" s="7">
        <v>3.0</v>
      </c>
      <c r="B6" s="8">
        <v>2.23864</v>
      </c>
      <c r="C6" s="8">
        <v>0.616179</v>
      </c>
      <c r="D6" s="8">
        <v>1.89455</v>
      </c>
      <c r="E6" s="8">
        <v>0.208733</v>
      </c>
      <c r="F6" s="8">
        <v>1.27518</v>
      </c>
      <c r="G6" s="8">
        <v>0.136853</v>
      </c>
      <c r="H6" s="8">
        <v>1.26568</v>
      </c>
      <c r="I6" s="8">
        <v>0.132011</v>
      </c>
      <c r="J6" s="8">
        <v>0.390534</v>
      </c>
      <c r="K6" s="8">
        <v>0.119644</v>
      </c>
      <c r="L6" s="8">
        <v>0.384283</v>
      </c>
      <c r="M6" s="8">
        <v>0.118856</v>
      </c>
      <c r="N6" s="8">
        <v>0.26457</v>
      </c>
      <c r="O6" s="8">
        <v>0.0392277</v>
      </c>
      <c r="P6" s="8">
        <v>0.187809</v>
      </c>
      <c r="Q6" s="8">
        <v>0.0762692</v>
      </c>
      <c r="R6" s="8">
        <v>0.250645</v>
      </c>
      <c r="S6" s="8">
        <v>0.0678885</v>
      </c>
      <c r="T6" s="8">
        <v>0.153116</v>
      </c>
      <c r="U6" s="8">
        <v>0.0671722</v>
      </c>
    </row>
    <row r="7">
      <c r="A7" s="7">
        <v>4.0</v>
      </c>
      <c r="B7" s="8">
        <v>2.20275</v>
      </c>
      <c r="C7" s="8">
        <v>0.625738</v>
      </c>
      <c r="D7" s="8">
        <v>1.88278</v>
      </c>
      <c r="E7" s="8">
        <v>0.210302</v>
      </c>
      <c r="F7" s="8">
        <v>1.27254</v>
      </c>
      <c r="G7" s="8">
        <v>0.130415</v>
      </c>
      <c r="H7" s="8">
        <v>1.26191</v>
      </c>
      <c r="I7" s="8">
        <v>0.129495</v>
      </c>
      <c r="J7" s="8">
        <v>0.39187</v>
      </c>
      <c r="K7" s="8">
        <v>0.119131</v>
      </c>
      <c r="L7" s="8">
        <v>0.386241</v>
      </c>
      <c r="M7" s="8">
        <v>0.119899</v>
      </c>
      <c r="N7" s="8">
        <v>0.264897</v>
      </c>
      <c r="O7" s="8">
        <v>0.0415172</v>
      </c>
      <c r="P7" s="8">
        <v>0.189483</v>
      </c>
      <c r="Q7" s="8">
        <v>0.0788386</v>
      </c>
      <c r="R7" s="8">
        <v>0.249709</v>
      </c>
      <c r="S7" s="8">
        <v>0.0675662</v>
      </c>
      <c r="T7" s="8">
        <v>0.155256</v>
      </c>
      <c r="U7" s="8">
        <v>0.0681895</v>
      </c>
    </row>
    <row r="8">
      <c r="A8" s="7">
        <v>5.0</v>
      </c>
      <c r="B8" s="8">
        <v>2.21062</v>
      </c>
      <c r="C8" s="8">
        <v>0.638529</v>
      </c>
      <c r="D8" s="8">
        <v>1.88274</v>
      </c>
      <c r="E8" s="8">
        <v>0.209347</v>
      </c>
      <c r="F8" s="8">
        <v>1.27286</v>
      </c>
      <c r="G8" s="8">
        <v>0.131999</v>
      </c>
      <c r="H8" s="8">
        <v>1.26193</v>
      </c>
      <c r="I8" s="8">
        <v>0.129652</v>
      </c>
      <c r="J8" s="8">
        <v>0.390256</v>
      </c>
      <c r="K8" s="8">
        <v>0.120194</v>
      </c>
      <c r="L8" s="8">
        <v>0.385302</v>
      </c>
      <c r="M8" s="8">
        <v>0.118872</v>
      </c>
      <c r="N8" s="8">
        <v>0.261178</v>
      </c>
      <c r="O8" s="8">
        <v>0.0400498</v>
      </c>
      <c r="P8" s="8">
        <v>0.187808</v>
      </c>
      <c r="Q8" s="8">
        <v>0.0779782</v>
      </c>
      <c r="R8" s="8">
        <v>0.252455</v>
      </c>
      <c r="S8" s="8">
        <v>0.0672435</v>
      </c>
      <c r="T8" s="8">
        <v>0.152847</v>
      </c>
      <c r="U8" s="8">
        <v>0.0684511</v>
      </c>
    </row>
    <row r="9">
      <c r="A9" s="7">
        <v>6.0</v>
      </c>
      <c r="B9" s="8">
        <v>2.20633</v>
      </c>
      <c r="C9" s="8">
        <v>0.608788</v>
      </c>
      <c r="D9" s="8">
        <v>1.88784</v>
      </c>
      <c r="E9" s="8">
        <v>0.209186</v>
      </c>
      <c r="F9" s="8">
        <v>1.27364</v>
      </c>
      <c r="G9" s="8">
        <v>0.124606</v>
      </c>
      <c r="H9" s="8">
        <v>1.25827</v>
      </c>
      <c r="I9" s="8">
        <v>0.130438</v>
      </c>
      <c r="J9" s="8">
        <v>0.386775</v>
      </c>
      <c r="K9" s="8">
        <v>0.120445</v>
      </c>
      <c r="L9" s="8">
        <v>0.385299</v>
      </c>
      <c r="M9" s="8">
        <v>0.119376</v>
      </c>
      <c r="N9" s="8">
        <v>0.263376</v>
      </c>
      <c r="O9" s="8">
        <v>0.0405032</v>
      </c>
      <c r="P9" s="8">
        <v>0.19592</v>
      </c>
      <c r="Q9" s="8">
        <v>0.0769121</v>
      </c>
      <c r="R9" s="8">
        <v>0.262791</v>
      </c>
      <c r="S9" s="8">
        <v>0.0675693</v>
      </c>
      <c r="T9" s="8">
        <v>0.154355</v>
      </c>
      <c r="U9" s="8">
        <v>0.0668947</v>
      </c>
    </row>
    <row r="10">
      <c r="A10" s="7">
        <v>7.0</v>
      </c>
      <c r="B10" s="8">
        <v>2.21048</v>
      </c>
      <c r="C10" s="8">
        <v>0.59105</v>
      </c>
      <c r="D10" s="8">
        <v>1.88553</v>
      </c>
      <c r="E10" s="8">
        <v>0.208687</v>
      </c>
      <c r="F10" s="8">
        <v>1.27111</v>
      </c>
      <c r="G10" s="8">
        <v>0.13379</v>
      </c>
      <c r="H10" s="8">
        <v>1.26032</v>
      </c>
      <c r="I10" s="8">
        <v>0.12943</v>
      </c>
      <c r="J10" s="8">
        <v>0.393833</v>
      </c>
      <c r="K10" s="8">
        <v>0.119786</v>
      </c>
      <c r="L10" s="8">
        <v>0.389336</v>
      </c>
      <c r="M10" s="8">
        <v>0.121354</v>
      </c>
      <c r="N10" s="8">
        <v>0.261907</v>
      </c>
      <c r="O10" s="8">
        <v>0.0397385</v>
      </c>
      <c r="P10" s="8">
        <v>0.18987</v>
      </c>
      <c r="Q10" s="8">
        <v>0.0768483</v>
      </c>
      <c r="R10" s="8">
        <v>0.25352</v>
      </c>
      <c r="S10" s="8">
        <v>0.0680663</v>
      </c>
      <c r="T10" s="8">
        <v>0.155497</v>
      </c>
      <c r="U10" s="8">
        <v>0.0678035</v>
      </c>
    </row>
    <row r="11">
      <c r="A11" s="7">
        <v>8.0</v>
      </c>
      <c r="B11" s="8">
        <v>2.21131</v>
      </c>
      <c r="C11" s="8">
        <v>0.613078</v>
      </c>
      <c r="D11" s="8">
        <v>1.88463</v>
      </c>
      <c r="E11" s="8">
        <v>0.208154</v>
      </c>
      <c r="F11" s="8">
        <v>1.27282</v>
      </c>
      <c r="G11" s="8">
        <v>0.150949</v>
      </c>
      <c r="H11" s="8">
        <v>1.26151</v>
      </c>
      <c r="I11" s="8">
        <v>0.129863</v>
      </c>
      <c r="J11" s="8">
        <v>0.392285</v>
      </c>
      <c r="K11" s="8">
        <v>0.120215</v>
      </c>
      <c r="L11" s="8">
        <v>0.384746</v>
      </c>
      <c r="M11" s="8">
        <v>0.119168</v>
      </c>
      <c r="N11" s="8">
        <v>0.261646</v>
      </c>
      <c r="O11" s="8">
        <v>0.0392898</v>
      </c>
      <c r="P11" s="8">
        <v>0.190256</v>
      </c>
      <c r="Q11" s="8">
        <v>0.0783797</v>
      </c>
      <c r="R11" s="8">
        <v>0.251771</v>
      </c>
      <c r="S11" s="8">
        <v>0.0667924</v>
      </c>
      <c r="T11" s="8">
        <v>0.153316</v>
      </c>
      <c r="U11" s="8">
        <v>0.0666943</v>
      </c>
    </row>
    <row r="12">
      <c r="A12" s="7">
        <v>9.0</v>
      </c>
      <c r="B12" s="8">
        <v>2.21909</v>
      </c>
      <c r="C12" s="8">
        <v>0.629809</v>
      </c>
      <c r="D12" s="8">
        <v>1.88587</v>
      </c>
      <c r="E12" s="8">
        <v>0.208643</v>
      </c>
      <c r="F12" s="8">
        <v>1.27273</v>
      </c>
      <c r="G12" s="8">
        <v>0.135645</v>
      </c>
      <c r="H12" s="8">
        <v>1.26102</v>
      </c>
      <c r="I12" s="8">
        <v>0.130748</v>
      </c>
      <c r="J12" s="8">
        <v>0.387604</v>
      </c>
      <c r="K12" s="8">
        <v>0.120745</v>
      </c>
      <c r="L12" s="8">
        <v>0.38575</v>
      </c>
      <c r="M12" s="8">
        <v>0.118314</v>
      </c>
      <c r="N12" s="8">
        <v>0.261541</v>
      </c>
      <c r="O12" s="8">
        <v>0.0396818</v>
      </c>
      <c r="P12" s="8">
        <v>0.188872</v>
      </c>
      <c r="Q12" s="8">
        <v>0.0766476</v>
      </c>
      <c r="R12" s="8">
        <v>0.252824</v>
      </c>
      <c r="S12" s="8">
        <v>0.0699682</v>
      </c>
      <c r="T12" s="8">
        <v>0.153276</v>
      </c>
      <c r="U12" s="8">
        <v>0.0672223</v>
      </c>
    </row>
    <row r="13">
      <c r="A13" s="7">
        <v>10.0</v>
      </c>
      <c r="B13" s="8">
        <v>2.20496</v>
      </c>
      <c r="C13" s="8">
        <v>0.659573</v>
      </c>
      <c r="D13" s="8">
        <v>1.8892</v>
      </c>
      <c r="E13" s="8">
        <v>0.210285</v>
      </c>
      <c r="F13" s="8">
        <v>1.27447</v>
      </c>
      <c r="G13" s="8">
        <v>0.131987</v>
      </c>
      <c r="H13" s="8">
        <v>1.30162</v>
      </c>
      <c r="I13" s="8">
        <v>0.128944</v>
      </c>
      <c r="J13" s="8">
        <v>0.387879</v>
      </c>
      <c r="K13" s="8">
        <v>0.121686</v>
      </c>
      <c r="L13" s="8">
        <v>0.383737</v>
      </c>
      <c r="M13" s="8">
        <v>0.12003</v>
      </c>
      <c r="N13" s="8">
        <v>0.262421</v>
      </c>
      <c r="O13" s="8">
        <v>0.0400688</v>
      </c>
      <c r="P13" s="8">
        <v>0.188914</v>
      </c>
      <c r="Q13" s="8">
        <v>0.0777525</v>
      </c>
      <c r="R13" s="8">
        <v>0.251603</v>
      </c>
      <c r="S13" s="8">
        <v>0.0670655</v>
      </c>
      <c r="T13" s="8">
        <v>0.152937</v>
      </c>
      <c r="U13" s="8">
        <v>0.0703753</v>
      </c>
    </row>
    <row r="14">
      <c r="A14" s="7">
        <v>11.0</v>
      </c>
      <c r="B14" s="8">
        <v>2.20693</v>
      </c>
      <c r="C14" s="8">
        <v>0.850661</v>
      </c>
      <c r="D14" s="8">
        <v>1.89682</v>
      </c>
      <c r="E14" s="8">
        <v>0.211725</v>
      </c>
      <c r="F14" s="8">
        <v>1.27494</v>
      </c>
      <c r="G14" s="8">
        <v>0.119337</v>
      </c>
      <c r="H14" s="8">
        <v>1.36042</v>
      </c>
      <c r="I14" s="8">
        <v>0.128554</v>
      </c>
      <c r="J14" s="8">
        <v>0.38914</v>
      </c>
      <c r="K14" s="8">
        <v>0.119586</v>
      </c>
      <c r="L14" s="8">
        <v>0.389561</v>
      </c>
      <c r="M14" s="8">
        <v>0.120559</v>
      </c>
      <c r="N14" s="8">
        <v>0.259799</v>
      </c>
      <c r="O14" s="8">
        <v>0.0401716</v>
      </c>
      <c r="P14" s="8">
        <v>0.191871</v>
      </c>
      <c r="Q14" s="8">
        <v>0.076996</v>
      </c>
      <c r="R14" s="8">
        <v>0.251547</v>
      </c>
      <c r="S14" s="8">
        <v>0.0669824</v>
      </c>
      <c r="T14" s="8">
        <v>0.154084</v>
      </c>
      <c r="U14" s="8">
        <v>0.0670694</v>
      </c>
    </row>
    <row r="15">
      <c r="A15" s="7">
        <v>12.0</v>
      </c>
      <c r="B15" s="8">
        <v>2.20591</v>
      </c>
      <c r="C15" s="8">
        <v>0.660188</v>
      </c>
      <c r="D15" s="8">
        <v>1.88525</v>
      </c>
      <c r="E15" s="8">
        <v>0.20856</v>
      </c>
      <c r="F15" s="8">
        <v>1.29115</v>
      </c>
      <c r="G15" s="8">
        <v>0.119607</v>
      </c>
      <c r="H15" s="8">
        <v>1.39447</v>
      </c>
      <c r="I15" s="8">
        <v>0.13013</v>
      </c>
      <c r="J15" s="8">
        <v>0.387026</v>
      </c>
      <c r="K15" s="8">
        <v>0.120102</v>
      </c>
      <c r="L15" s="8">
        <v>0.394826</v>
      </c>
      <c r="M15" s="8">
        <v>0.119805</v>
      </c>
      <c r="N15" s="8">
        <v>0.260457</v>
      </c>
      <c r="O15" s="8">
        <v>0.0393943</v>
      </c>
      <c r="P15" s="8">
        <v>0.187569</v>
      </c>
      <c r="Q15" s="8">
        <v>0.0773796</v>
      </c>
      <c r="R15" s="8">
        <v>0.250512</v>
      </c>
      <c r="S15" s="8">
        <v>0.0674673</v>
      </c>
      <c r="T15" s="8">
        <v>0.153778</v>
      </c>
      <c r="U15" s="8">
        <v>0.0678994</v>
      </c>
    </row>
    <row r="16">
      <c r="A16" s="7">
        <v>13.0</v>
      </c>
      <c r="B16" s="8">
        <v>2.22805</v>
      </c>
      <c r="C16" s="8">
        <v>0.614118</v>
      </c>
      <c r="D16" s="8">
        <v>1.89737</v>
      </c>
      <c r="E16" s="8">
        <v>0.210139</v>
      </c>
      <c r="F16" s="8">
        <v>1.27999</v>
      </c>
      <c r="G16" s="8">
        <v>0.120255</v>
      </c>
      <c r="H16" s="8">
        <v>1.26288</v>
      </c>
      <c r="I16" s="8">
        <v>0.130308</v>
      </c>
      <c r="J16" s="8">
        <v>0.388561</v>
      </c>
      <c r="K16" s="8">
        <v>0.12194</v>
      </c>
      <c r="L16" s="8">
        <v>0.392746</v>
      </c>
      <c r="M16" s="8">
        <v>0.119892</v>
      </c>
      <c r="N16" s="8">
        <v>0.259823</v>
      </c>
      <c r="O16" s="8">
        <v>0.0394664</v>
      </c>
      <c r="P16" s="8">
        <v>0.188196</v>
      </c>
      <c r="Q16" s="8">
        <v>0.077049</v>
      </c>
      <c r="R16" s="8">
        <v>0.252794</v>
      </c>
      <c r="S16" s="8">
        <v>0.0690683</v>
      </c>
      <c r="T16" s="8">
        <v>0.152636</v>
      </c>
      <c r="U16" s="8">
        <v>0.067367</v>
      </c>
    </row>
    <row r="17">
      <c r="A17" s="7">
        <v>14.0</v>
      </c>
      <c r="B17" s="8">
        <v>2.20585</v>
      </c>
      <c r="C17" s="8">
        <v>0.626132</v>
      </c>
      <c r="D17" s="8">
        <v>1.88557</v>
      </c>
      <c r="E17" s="8">
        <v>0.209184</v>
      </c>
      <c r="F17" s="8">
        <v>1.2714</v>
      </c>
      <c r="G17" s="8">
        <v>0.1185</v>
      </c>
      <c r="H17" s="8">
        <v>1.25919</v>
      </c>
      <c r="I17" s="8">
        <v>0.129502</v>
      </c>
      <c r="J17" s="8">
        <v>0.389635</v>
      </c>
      <c r="K17" s="8">
        <v>0.11886</v>
      </c>
      <c r="L17" s="8">
        <v>0.398278</v>
      </c>
      <c r="M17" s="8">
        <v>0.119261</v>
      </c>
      <c r="N17" s="8">
        <v>0.259704</v>
      </c>
      <c r="O17" s="8">
        <v>0.038894</v>
      </c>
      <c r="P17" s="8">
        <v>0.189108</v>
      </c>
      <c r="Q17" s="8">
        <v>0.0771054</v>
      </c>
      <c r="R17" s="8">
        <v>0.250797</v>
      </c>
      <c r="S17" s="8">
        <v>0.0686412</v>
      </c>
      <c r="T17" s="8">
        <v>0.153493</v>
      </c>
      <c r="U17" s="8">
        <v>0.0682997</v>
      </c>
    </row>
    <row r="18">
      <c r="A18" s="7">
        <v>15.0</v>
      </c>
      <c r="B18" s="8">
        <v>2.21276</v>
      </c>
      <c r="C18" s="8">
        <v>0.635121</v>
      </c>
      <c r="D18" s="8">
        <v>1.88727</v>
      </c>
      <c r="E18" s="8">
        <v>0.207304</v>
      </c>
      <c r="F18" s="8">
        <v>1.27255</v>
      </c>
      <c r="G18" s="8">
        <v>0.122593</v>
      </c>
      <c r="H18" s="8">
        <v>1.25924</v>
      </c>
      <c r="I18" s="8">
        <v>0.129475</v>
      </c>
      <c r="J18" s="8">
        <v>0.387421</v>
      </c>
      <c r="K18" s="8">
        <v>0.1192</v>
      </c>
      <c r="L18" s="8">
        <v>0.38728</v>
      </c>
      <c r="M18" s="8">
        <v>0.119602</v>
      </c>
      <c r="N18" s="8">
        <v>0.260077</v>
      </c>
      <c r="O18" s="8">
        <v>0.0407903</v>
      </c>
      <c r="P18" s="8">
        <v>0.188282</v>
      </c>
      <c r="Q18" s="8">
        <v>0.0778653</v>
      </c>
      <c r="R18" s="8">
        <v>0.254689</v>
      </c>
      <c r="S18" s="8">
        <v>0.0677017</v>
      </c>
      <c r="T18" s="8">
        <v>0.153511</v>
      </c>
      <c r="U18" s="8">
        <v>0.0682252</v>
      </c>
    </row>
    <row r="19">
      <c r="A19" s="7">
        <v>16.0</v>
      </c>
      <c r="B19" s="8">
        <v>2.22853</v>
      </c>
      <c r="C19" s="8">
        <v>0.63617</v>
      </c>
      <c r="D19" s="8">
        <v>1.88749</v>
      </c>
      <c r="E19" s="8">
        <v>0.210103</v>
      </c>
      <c r="F19" s="8">
        <v>1.27012</v>
      </c>
      <c r="G19" s="8">
        <v>0.134171</v>
      </c>
      <c r="H19" s="8">
        <v>1.27668</v>
      </c>
      <c r="I19" s="8">
        <v>0.129437</v>
      </c>
      <c r="J19" s="8">
        <v>0.389099</v>
      </c>
      <c r="K19" s="8">
        <v>0.118942</v>
      </c>
      <c r="L19" s="8">
        <v>0.38518</v>
      </c>
      <c r="M19" s="8">
        <v>0.119257</v>
      </c>
      <c r="N19" s="8">
        <v>0.261618</v>
      </c>
      <c r="O19" s="8">
        <v>0.0398897</v>
      </c>
      <c r="P19" s="8">
        <v>0.18804</v>
      </c>
      <c r="Q19" s="8">
        <v>0.0760604</v>
      </c>
      <c r="R19" s="8">
        <v>0.250462</v>
      </c>
      <c r="S19" s="8">
        <v>0.069019</v>
      </c>
      <c r="T19" s="8">
        <v>0.154638</v>
      </c>
      <c r="U19" s="8">
        <v>0.067992</v>
      </c>
    </row>
    <row r="20">
      <c r="A20" s="7">
        <v>17.0</v>
      </c>
      <c r="B20" s="8">
        <v>2.21154</v>
      </c>
      <c r="C20" s="8">
        <v>0.600397</v>
      </c>
      <c r="D20" s="8">
        <v>1.8903</v>
      </c>
      <c r="E20" s="8">
        <v>0.209647</v>
      </c>
      <c r="F20" s="8">
        <v>1.27315</v>
      </c>
      <c r="G20" s="8">
        <v>0.131677</v>
      </c>
      <c r="H20" s="8">
        <v>1.30284</v>
      </c>
      <c r="I20" s="8">
        <v>0.139446</v>
      </c>
      <c r="J20" s="8">
        <v>0.388114</v>
      </c>
      <c r="K20" s="8">
        <v>0.120456</v>
      </c>
      <c r="L20" s="8">
        <v>0.385746</v>
      </c>
      <c r="M20" s="8">
        <v>0.11998</v>
      </c>
      <c r="N20" s="8">
        <v>0.260379</v>
      </c>
      <c r="O20" s="8">
        <v>0.0403909</v>
      </c>
      <c r="P20" s="8">
        <v>0.188825</v>
      </c>
      <c r="Q20" s="8">
        <v>0.0767454</v>
      </c>
      <c r="R20" s="8">
        <v>0.249991</v>
      </c>
      <c r="S20" s="8">
        <v>0.0680649</v>
      </c>
      <c r="T20" s="8">
        <v>0.158359</v>
      </c>
      <c r="U20" s="8">
        <v>0.068855</v>
      </c>
    </row>
    <row r="21">
      <c r="A21" s="7">
        <v>18.0</v>
      </c>
      <c r="B21" s="8">
        <v>2.22699</v>
      </c>
      <c r="C21" s="8">
        <v>0.644266</v>
      </c>
      <c r="D21" s="8">
        <v>1.88688</v>
      </c>
      <c r="E21" s="8">
        <v>0.20909</v>
      </c>
      <c r="F21" s="8">
        <v>1.27334</v>
      </c>
      <c r="G21" s="8">
        <v>0.133619</v>
      </c>
      <c r="H21" s="8">
        <v>1.26803</v>
      </c>
      <c r="I21" s="8">
        <v>0.128292</v>
      </c>
      <c r="J21" s="8">
        <v>0.390952</v>
      </c>
      <c r="K21" s="8">
        <v>0.121556</v>
      </c>
      <c r="L21" s="8">
        <v>0.387501</v>
      </c>
      <c r="M21" s="8">
        <v>0.119907</v>
      </c>
      <c r="N21" s="8">
        <v>0.260051</v>
      </c>
      <c r="O21" s="8">
        <v>0.0410632</v>
      </c>
      <c r="P21" s="8">
        <v>0.188822</v>
      </c>
      <c r="Q21" s="8">
        <v>0.0756814</v>
      </c>
      <c r="R21" s="8">
        <v>0.250999</v>
      </c>
      <c r="S21" s="8">
        <v>0.0677416</v>
      </c>
      <c r="T21" s="8">
        <v>0.15449</v>
      </c>
      <c r="U21" s="8">
        <v>0.0670777</v>
      </c>
    </row>
    <row r="22">
      <c r="A22" s="7">
        <v>19.0</v>
      </c>
      <c r="B22" s="8">
        <v>2.20749</v>
      </c>
      <c r="C22" s="8">
        <v>0.634955</v>
      </c>
      <c r="D22" s="8">
        <v>1.889</v>
      </c>
      <c r="E22" s="8">
        <v>0.208443</v>
      </c>
      <c r="F22" s="8">
        <v>1.28007</v>
      </c>
      <c r="G22" s="8">
        <v>0.132303</v>
      </c>
      <c r="H22" s="8">
        <v>1.2643</v>
      </c>
      <c r="I22" s="8">
        <v>0.129199</v>
      </c>
      <c r="J22" s="8">
        <v>0.38975</v>
      </c>
      <c r="K22" s="8">
        <v>0.119725</v>
      </c>
      <c r="L22" s="8">
        <v>0.391118</v>
      </c>
      <c r="M22" s="8">
        <v>0.120421</v>
      </c>
      <c r="N22" s="8">
        <v>0.264023</v>
      </c>
      <c r="O22" s="8">
        <v>0.0396963</v>
      </c>
      <c r="P22" s="8">
        <v>0.19025</v>
      </c>
      <c r="Q22" s="8">
        <v>0.0777487</v>
      </c>
      <c r="R22" s="8">
        <v>0.250847</v>
      </c>
      <c r="S22" s="8">
        <v>0.0682325</v>
      </c>
      <c r="T22" s="8">
        <v>0.152808</v>
      </c>
      <c r="U22" s="8">
        <v>0.0676715</v>
      </c>
    </row>
    <row r="23">
      <c r="A23" s="7">
        <v>20.0</v>
      </c>
      <c r="B23" s="8">
        <v>2.19582</v>
      </c>
      <c r="C23" s="8">
        <v>0.641552</v>
      </c>
      <c r="D23" s="8">
        <v>1.88925</v>
      </c>
      <c r="E23" s="8">
        <v>0.209554</v>
      </c>
      <c r="F23" s="8">
        <v>1.27517</v>
      </c>
      <c r="G23" s="8">
        <v>0.118293</v>
      </c>
      <c r="H23" s="8">
        <v>1.25951</v>
      </c>
      <c r="I23" s="8">
        <v>0.130234</v>
      </c>
      <c r="J23" s="8">
        <v>0.389569</v>
      </c>
      <c r="K23" s="8">
        <v>0.118875</v>
      </c>
      <c r="L23" s="8">
        <v>0.386192</v>
      </c>
      <c r="M23" s="8">
        <v>0.118441</v>
      </c>
      <c r="N23" s="8">
        <v>0.259394</v>
      </c>
      <c r="O23" s="8">
        <v>0.0396735</v>
      </c>
      <c r="P23" s="8">
        <v>0.188909</v>
      </c>
      <c r="Q23" s="8">
        <v>0.0778473</v>
      </c>
      <c r="R23" s="8">
        <v>0.251569</v>
      </c>
      <c r="S23" s="8">
        <v>0.0694867</v>
      </c>
      <c r="T23" s="8">
        <v>0.153205</v>
      </c>
      <c r="U23" s="8">
        <v>0.0678409</v>
      </c>
    </row>
    <row r="24">
      <c r="A24" s="2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>
      <c r="A25" s="2" t="s">
        <v>5</v>
      </c>
      <c r="B25" s="3">
        <v>0.0</v>
      </c>
      <c r="C25" s="4"/>
      <c r="D25" s="3">
        <v>1.0</v>
      </c>
      <c r="E25" s="4"/>
      <c r="F25" s="3">
        <v>2.0</v>
      </c>
      <c r="G25" s="4"/>
      <c r="H25" s="3">
        <v>3.0</v>
      </c>
      <c r="I25" s="4"/>
      <c r="J25" s="3">
        <v>4.0</v>
      </c>
      <c r="K25" s="4"/>
      <c r="L25" s="3">
        <v>5.0</v>
      </c>
      <c r="M25" s="4"/>
      <c r="N25" s="3">
        <v>6.0</v>
      </c>
      <c r="O25" s="4"/>
      <c r="P25" s="3">
        <v>7.0</v>
      </c>
      <c r="Q25" s="4"/>
      <c r="R25" s="3">
        <v>6.1</v>
      </c>
      <c r="S25" s="4"/>
      <c r="T25" s="3">
        <v>7.1</v>
      </c>
      <c r="U25" s="4"/>
    </row>
    <row r="26">
      <c r="A26" s="2" t="s">
        <v>6</v>
      </c>
      <c r="B26" s="10" t="s">
        <v>3</v>
      </c>
      <c r="C26" s="10" t="s">
        <v>4</v>
      </c>
      <c r="D26" s="11" t="s">
        <v>3</v>
      </c>
      <c r="E26" s="11" t="s">
        <v>4</v>
      </c>
      <c r="F26" s="11" t="s">
        <v>3</v>
      </c>
      <c r="G26" s="11" t="s">
        <v>4</v>
      </c>
      <c r="H26" s="11" t="s">
        <v>3</v>
      </c>
      <c r="I26" s="11" t="s">
        <v>4</v>
      </c>
      <c r="J26" s="11" t="s">
        <v>3</v>
      </c>
      <c r="K26" s="11" t="s">
        <v>4</v>
      </c>
      <c r="L26" s="11" t="s">
        <v>3</v>
      </c>
      <c r="M26" s="11" t="s">
        <v>4</v>
      </c>
      <c r="N26" s="11" t="s">
        <v>3</v>
      </c>
      <c r="O26" s="11" t="s">
        <v>4</v>
      </c>
      <c r="P26" s="11" t="s">
        <v>3</v>
      </c>
      <c r="Q26" s="11" t="s">
        <v>4</v>
      </c>
      <c r="R26" s="11" t="s">
        <v>3</v>
      </c>
      <c r="S26" s="11" t="s">
        <v>4</v>
      </c>
      <c r="T26" s="11" t="s">
        <v>3</v>
      </c>
      <c r="U26" s="11" t="s">
        <v>4</v>
      </c>
    </row>
    <row r="27">
      <c r="A27" s="7">
        <v>1.0</v>
      </c>
      <c r="B27" s="12">
        <f t="shared" ref="B27:U27" si="1">SORT(B4:B23)</f>
        <v>2.19582</v>
      </c>
      <c r="C27" s="13">
        <f t="shared" si="1"/>
        <v>0.59105</v>
      </c>
      <c r="D27" s="12">
        <f t="shared" si="1"/>
        <v>1.88274</v>
      </c>
      <c r="E27" s="13">
        <f t="shared" si="1"/>
        <v>0.207304</v>
      </c>
      <c r="F27" s="12">
        <f t="shared" si="1"/>
        <v>1.27012</v>
      </c>
      <c r="G27" s="13">
        <f t="shared" si="1"/>
        <v>0.118293</v>
      </c>
      <c r="H27" s="12">
        <f t="shared" si="1"/>
        <v>1.25827</v>
      </c>
      <c r="I27" s="13">
        <f t="shared" si="1"/>
        <v>0.128292</v>
      </c>
      <c r="J27" s="12">
        <f t="shared" si="1"/>
        <v>0.386775</v>
      </c>
      <c r="K27" s="13">
        <f t="shared" si="1"/>
        <v>0.11886</v>
      </c>
      <c r="L27" s="12">
        <f t="shared" si="1"/>
        <v>0.383737</v>
      </c>
      <c r="M27" s="13">
        <f t="shared" si="1"/>
        <v>0.118314</v>
      </c>
      <c r="N27" s="12">
        <f t="shared" si="1"/>
        <v>0.259394</v>
      </c>
      <c r="O27" s="13">
        <f t="shared" si="1"/>
        <v>0.038894</v>
      </c>
      <c r="P27" s="12">
        <f t="shared" si="1"/>
        <v>0.187569</v>
      </c>
      <c r="Q27" s="13">
        <f t="shared" si="1"/>
        <v>0.0756814</v>
      </c>
      <c r="R27" s="12">
        <f t="shared" si="1"/>
        <v>0.249709</v>
      </c>
      <c r="S27" s="13">
        <f t="shared" si="1"/>
        <v>0.0667924</v>
      </c>
      <c r="T27" s="12">
        <f t="shared" si="1"/>
        <v>0.152636</v>
      </c>
      <c r="U27" s="13">
        <f t="shared" si="1"/>
        <v>0.0666943</v>
      </c>
    </row>
    <row r="28">
      <c r="A28" s="7">
        <v>2.0</v>
      </c>
      <c r="B28" s="2">
        <v>2.20275</v>
      </c>
      <c r="C28" s="14">
        <v>0.600397</v>
      </c>
      <c r="D28" s="15">
        <v>1.88278</v>
      </c>
      <c r="E28" s="14">
        <v>0.208154</v>
      </c>
      <c r="F28" s="15">
        <v>1.27039</v>
      </c>
      <c r="G28" s="14">
        <v>0.1185</v>
      </c>
      <c r="H28" s="15">
        <v>1.25919</v>
      </c>
      <c r="I28" s="14">
        <v>0.128554</v>
      </c>
      <c r="J28" s="15">
        <v>0.387026</v>
      </c>
      <c r="K28" s="14">
        <v>0.118875</v>
      </c>
      <c r="L28" s="15">
        <v>0.384283</v>
      </c>
      <c r="M28" s="14">
        <v>0.118383</v>
      </c>
      <c r="N28" s="15">
        <v>0.259704</v>
      </c>
      <c r="O28" s="14">
        <v>0.0392277</v>
      </c>
      <c r="P28" s="15">
        <v>0.187808</v>
      </c>
      <c r="Q28" s="14">
        <v>0.0760604</v>
      </c>
      <c r="R28" s="15">
        <v>0.249991</v>
      </c>
      <c r="S28" s="14">
        <v>0.0669824</v>
      </c>
      <c r="T28" s="15">
        <v>0.152808</v>
      </c>
      <c r="U28" s="14">
        <v>0.0667246</v>
      </c>
    </row>
    <row r="29">
      <c r="A29" s="7">
        <v>3.0</v>
      </c>
      <c r="B29" s="2">
        <v>2.20496</v>
      </c>
      <c r="C29" s="14">
        <v>0.608788</v>
      </c>
      <c r="D29" s="15">
        <v>1.88463</v>
      </c>
      <c r="E29" s="14">
        <v>0.208443</v>
      </c>
      <c r="F29" s="15">
        <v>1.27111</v>
      </c>
      <c r="G29" s="14">
        <v>0.119337</v>
      </c>
      <c r="H29" s="15">
        <v>1.25924</v>
      </c>
      <c r="I29" s="14">
        <v>0.128944</v>
      </c>
      <c r="J29" s="15">
        <v>0.387421</v>
      </c>
      <c r="K29" s="14">
        <v>0.118942</v>
      </c>
      <c r="L29" s="15">
        <v>0.384746</v>
      </c>
      <c r="M29" s="14">
        <v>0.118441</v>
      </c>
      <c r="N29" s="15">
        <v>0.259799</v>
      </c>
      <c r="O29" s="14">
        <v>0.0392898</v>
      </c>
      <c r="P29" s="15">
        <v>0.187809</v>
      </c>
      <c r="Q29" s="14">
        <v>0.0761872</v>
      </c>
      <c r="R29" s="15">
        <v>0.250462</v>
      </c>
      <c r="S29" s="14">
        <v>0.0670655</v>
      </c>
      <c r="T29" s="15">
        <v>0.152847</v>
      </c>
      <c r="U29" s="14">
        <v>0.0668947</v>
      </c>
    </row>
    <row r="30">
      <c r="A30" s="7">
        <v>4.0</v>
      </c>
      <c r="B30" s="2">
        <v>2.20515</v>
      </c>
      <c r="C30" s="14">
        <v>0.613078</v>
      </c>
      <c r="D30" s="15">
        <v>1.88525</v>
      </c>
      <c r="E30" s="14">
        <v>0.208494</v>
      </c>
      <c r="F30" s="15">
        <v>1.2714</v>
      </c>
      <c r="G30" s="14">
        <v>0.119607</v>
      </c>
      <c r="H30" s="15">
        <v>1.25951</v>
      </c>
      <c r="I30" s="14">
        <v>0.129199</v>
      </c>
      <c r="J30" s="15">
        <v>0.387604</v>
      </c>
      <c r="K30" s="14">
        <v>0.119131</v>
      </c>
      <c r="L30" s="15">
        <v>0.38518</v>
      </c>
      <c r="M30" s="14">
        <v>0.118856</v>
      </c>
      <c r="N30" s="15">
        <v>0.259823</v>
      </c>
      <c r="O30" s="14">
        <v>0.0393943</v>
      </c>
      <c r="P30" s="15">
        <v>0.18804</v>
      </c>
      <c r="Q30" s="14">
        <v>0.0762692</v>
      </c>
      <c r="R30" s="15">
        <v>0.250512</v>
      </c>
      <c r="S30" s="14">
        <v>0.0670902</v>
      </c>
      <c r="T30" s="15">
        <v>0.152937</v>
      </c>
      <c r="U30" s="14">
        <v>0.0670694</v>
      </c>
    </row>
    <row r="31">
      <c r="A31" s="7">
        <v>5.0</v>
      </c>
      <c r="B31" s="2">
        <v>2.20585</v>
      </c>
      <c r="C31" s="14">
        <v>0.614118</v>
      </c>
      <c r="D31" s="15">
        <v>1.88553</v>
      </c>
      <c r="E31" s="14">
        <v>0.20856</v>
      </c>
      <c r="F31" s="15">
        <v>1.27181</v>
      </c>
      <c r="G31" s="14">
        <v>0.11961</v>
      </c>
      <c r="H31" s="15">
        <v>1.26032</v>
      </c>
      <c r="I31" s="14">
        <v>0.12943</v>
      </c>
      <c r="J31" s="15">
        <v>0.387879</v>
      </c>
      <c r="K31" s="14">
        <v>0.1192</v>
      </c>
      <c r="L31" s="15">
        <v>0.385299</v>
      </c>
      <c r="M31" s="14">
        <v>0.118872</v>
      </c>
      <c r="N31" s="15">
        <v>0.260051</v>
      </c>
      <c r="O31" s="14">
        <v>0.0394664</v>
      </c>
      <c r="P31" s="15">
        <v>0.188089</v>
      </c>
      <c r="Q31" s="14">
        <v>0.0766476</v>
      </c>
      <c r="R31" s="15">
        <v>0.250645</v>
      </c>
      <c r="S31" s="14">
        <v>0.0672435</v>
      </c>
      <c r="T31" s="15">
        <v>0.153116</v>
      </c>
      <c r="U31" s="14">
        <v>0.0670777</v>
      </c>
    </row>
    <row r="32">
      <c r="A32" s="7">
        <v>6.0</v>
      </c>
      <c r="B32" s="2">
        <v>2.20591</v>
      </c>
      <c r="C32" s="14">
        <v>0.616179</v>
      </c>
      <c r="D32" s="15">
        <v>1.88557</v>
      </c>
      <c r="E32" s="14">
        <v>0.208643</v>
      </c>
      <c r="F32" s="15">
        <v>1.27254</v>
      </c>
      <c r="G32" s="14">
        <v>0.120255</v>
      </c>
      <c r="H32" s="15">
        <v>1.26102</v>
      </c>
      <c r="I32" s="14">
        <v>0.129437</v>
      </c>
      <c r="J32" s="15">
        <v>0.388114</v>
      </c>
      <c r="K32" s="14">
        <v>0.119586</v>
      </c>
      <c r="L32" s="15">
        <v>0.385302</v>
      </c>
      <c r="M32" s="14">
        <v>0.119168</v>
      </c>
      <c r="N32" s="15">
        <v>0.260077</v>
      </c>
      <c r="O32" s="14">
        <v>0.0396735</v>
      </c>
      <c r="P32" s="15">
        <v>0.188196</v>
      </c>
      <c r="Q32" s="14">
        <v>0.0767454</v>
      </c>
      <c r="R32" s="15">
        <v>0.250797</v>
      </c>
      <c r="S32" s="14">
        <v>0.0674673</v>
      </c>
      <c r="T32" s="15">
        <v>0.153205</v>
      </c>
      <c r="U32" s="14">
        <v>0.0671722</v>
      </c>
    </row>
    <row r="33">
      <c r="A33" s="7">
        <v>7.0</v>
      </c>
      <c r="B33" s="2">
        <v>2.20633</v>
      </c>
      <c r="C33" s="14">
        <v>0.625738</v>
      </c>
      <c r="D33" s="15">
        <v>1.88587</v>
      </c>
      <c r="E33" s="14">
        <v>0.208687</v>
      </c>
      <c r="F33" s="15">
        <v>1.27255</v>
      </c>
      <c r="G33" s="14">
        <v>0.122593</v>
      </c>
      <c r="H33" s="15">
        <v>1.26105</v>
      </c>
      <c r="I33" s="14">
        <v>0.129475</v>
      </c>
      <c r="J33" s="15">
        <v>0.388561</v>
      </c>
      <c r="K33" s="14">
        <v>0.119644</v>
      </c>
      <c r="L33" s="15">
        <v>0.385448</v>
      </c>
      <c r="M33" s="14">
        <v>0.119255</v>
      </c>
      <c r="N33" s="15">
        <v>0.260379</v>
      </c>
      <c r="O33" s="14">
        <v>0.0396818</v>
      </c>
      <c r="P33" s="15">
        <v>0.188282</v>
      </c>
      <c r="Q33" s="14">
        <v>0.0768483</v>
      </c>
      <c r="R33" s="15">
        <v>0.250847</v>
      </c>
      <c r="S33" s="14">
        <v>0.0675662</v>
      </c>
      <c r="T33" s="15">
        <v>0.153276</v>
      </c>
      <c r="U33" s="14">
        <v>0.0672223</v>
      </c>
    </row>
    <row r="34">
      <c r="A34" s="7">
        <v>8.0</v>
      </c>
      <c r="B34" s="2">
        <v>2.20693</v>
      </c>
      <c r="C34" s="14">
        <v>0.626132</v>
      </c>
      <c r="D34" s="15">
        <v>1.88688</v>
      </c>
      <c r="E34" s="14">
        <v>0.208733</v>
      </c>
      <c r="F34" s="15">
        <v>1.27273</v>
      </c>
      <c r="G34" s="14">
        <v>0.124606</v>
      </c>
      <c r="H34" s="15">
        <v>1.26151</v>
      </c>
      <c r="I34" s="14">
        <v>0.129495</v>
      </c>
      <c r="J34" s="15">
        <v>0.389099</v>
      </c>
      <c r="K34" s="14">
        <v>0.119725</v>
      </c>
      <c r="L34" s="15">
        <v>0.385487</v>
      </c>
      <c r="M34" s="14">
        <v>0.119257</v>
      </c>
      <c r="N34" s="15">
        <v>0.260457</v>
      </c>
      <c r="O34" s="14">
        <v>0.0396963</v>
      </c>
      <c r="P34" s="15">
        <v>0.188822</v>
      </c>
      <c r="Q34" s="14">
        <v>0.0769121</v>
      </c>
      <c r="R34" s="15">
        <v>0.250999</v>
      </c>
      <c r="S34" s="14">
        <v>0.0675693</v>
      </c>
      <c r="T34" s="15">
        <v>0.153316</v>
      </c>
      <c r="U34" s="14">
        <v>0.067367</v>
      </c>
    </row>
    <row r="35">
      <c r="A35" s="7">
        <v>9.0</v>
      </c>
      <c r="B35" s="2">
        <v>2.20749</v>
      </c>
      <c r="C35" s="14">
        <v>0.628041</v>
      </c>
      <c r="D35" s="15">
        <v>1.88722</v>
      </c>
      <c r="E35" s="14">
        <v>0.20909</v>
      </c>
      <c r="F35" s="15">
        <v>1.27282</v>
      </c>
      <c r="G35" s="14">
        <v>0.130415</v>
      </c>
      <c r="H35" s="15">
        <v>1.26191</v>
      </c>
      <c r="I35" s="14">
        <v>0.129502</v>
      </c>
      <c r="J35" s="15">
        <v>0.38914</v>
      </c>
      <c r="K35" s="14">
        <v>0.119786</v>
      </c>
      <c r="L35" s="15">
        <v>0.385746</v>
      </c>
      <c r="M35" s="14">
        <v>0.119261</v>
      </c>
      <c r="N35" s="15">
        <v>0.261178</v>
      </c>
      <c r="O35" s="14">
        <v>0.0397385</v>
      </c>
      <c r="P35" s="15">
        <v>0.188825</v>
      </c>
      <c r="Q35" s="14">
        <v>0.076996</v>
      </c>
      <c r="R35" s="15">
        <v>0.251547</v>
      </c>
      <c r="S35" s="14">
        <v>0.0677017</v>
      </c>
      <c r="T35" s="15">
        <v>0.153493</v>
      </c>
      <c r="U35" s="14">
        <v>0.0676715</v>
      </c>
    </row>
    <row r="36">
      <c r="A36" s="7">
        <v>10.0</v>
      </c>
      <c r="B36" s="2">
        <v>2.21048</v>
      </c>
      <c r="C36" s="14">
        <v>0.629809</v>
      </c>
      <c r="D36" s="15">
        <v>1.88727</v>
      </c>
      <c r="E36" s="14">
        <v>0.209184</v>
      </c>
      <c r="F36" s="15">
        <v>1.27286</v>
      </c>
      <c r="G36" s="14">
        <v>0.131677</v>
      </c>
      <c r="H36" s="15">
        <v>1.26193</v>
      </c>
      <c r="I36" s="14">
        <v>0.129581</v>
      </c>
      <c r="J36" s="15">
        <v>0.389405</v>
      </c>
      <c r="K36" s="14">
        <v>0.120102</v>
      </c>
      <c r="L36" s="15">
        <v>0.38575</v>
      </c>
      <c r="M36" s="14">
        <v>0.119376</v>
      </c>
      <c r="N36" s="15">
        <v>0.261402</v>
      </c>
      <c r="O36" s="14">
        <v>0.0398694</v>
      </c>
      <c r="P36" s="15">
        <v>0.188872</v>
      </c>
      <c r="Q36" s="14">
        <v>0.077049</v>
      </c>
      <c r="R36" s="15">
        <v>0.251569</v>
      </c>
      <c r="S36" s="14">
        <v>0.0677416</v>
      </c>
      <c r="T36" s="15">
        <v>0.153511</v>
      </c>
      <c r="U36" s="14">
        <v>0.0678035</v>
      </c>
    </row>
    <row r="37">
      <c r="A37" s="7">
        <v>11.0</v>
      </c>
      <c r="B37" s="2">
        <v>2.21062</v>
      </c>
      <c r="C37" s="14">
        <v>0.634955</v>
      </c>
      <c r="D37" s="15">
        <v>1.88749</v>
      </c>
      <c r="E37" s="14">
        <v>0.209186</v>
      </c>
      <c r="F37" s="15">
        <v>1.27315</v>
      </c>
      <c r="G37" s="14">
        <v>0.131987</v>
      </c>
      <c r="H37" s="15">
        <v>1.2627</v>
      </c>
      <c r="I37" s="14">
        <v>0.129652</v>
      </c>
      <c r="J37" s="15">
        <v>0.389569</v>
      </c>
      <c r="K37" s="14">
        <v>0.120194</v>
      </c>
      <c r="L37" s="15">
        <v>0.386192</v>
      </c>
      <c r="M37" s="14">
        <v>0.119602</v>
      </c>
      <c r="N37" s="15">
        <v>0.261541</v>
      </c>
      <c r="O37" s="14">
        <v>0.0398897</v>
      </c>
      <c r="P37" s="15">
        <v>0.188909</v>
      </c>
      <c r="Q37" s="14">
        <v>0.0771054</v>
      </c>
      <c r="R37" s="15">
        <v>0.251603</v>
      </c>
      <c r="S37" s="14">
        <v>0.0678885</v>
      </c>
      <c r="T37" s="15">
        <v>0.153707</v>
      </c>
      <c r="U37" s="14">
        <v>0.0678409</v>
      </c>
    </row>
    <row r="38">
      <c r="A38" s="7">
        <v>12.0</v>
      </c>
      <c r="B38" s="2">
        <v>2.21131</v>
      </c>
      <c r="C38" s="14">
        <v>0.635068</v>
      </c>
      <c r="D38" s="15">
        <v>1.88784</v>
      </c>
      <c r="E38" s="14">
        <v>0.209347</v>
      </c>
      <c r="F38" s="15">
        <v>1.27334</v>
      </c>
      <c r="G38" s="14">
        <v>0.131999</v>
      </c>
      <c r="H38" s="15">
        <v>1.26288</v>
      </c>
      <c r="I38" s="14">
        <v>0.129797</v>
      </c>
      <c r="J38" s="15">
        <v>0.389635</v>
      </c>
      <c r="K38" s="14">
        <v>0.120215</v>
      </c>
      <c r="L38" s="15">
        <v>0.386241</v>
      </c>
      <c r="M38" s="14">
        <v>0.119805</v>
      </c>
      <c r="N38" s="15">
        <v>0.261618</v>
      </c>
      <c r="O38" s="14">
        <v>0.0400498</v>
      </c>
      <c r="P38" s="15">
        <v>0.188914</v>
      </c>
      <c r="Q38" s="14">
        <v>0.077269</v>
      </c>
      <c r="R38" s="15">
        <v>0.251771</v>
      </c>
      <c r="S38" s="14">
        <v>0.0680649</v>
      </c>
      <c r="T38" s="15">
        <v>0.153778</v>
      </c>
      <c r="U38" s="14">
        <v>0.0678994</v>
      </c>
    </row>
    <row r="39">
      <c r="A39" s="7">
        <v>13.0</v>
      </c>
      <c r="B39" s="2">
        <v>2.21154</v>
      </c>
      <c r="C39" s="14">
        <v>0.635121</v>
      </c>
      <c r="D39" s="15">
        <v>1.889</v>
      </c>
      <c r="E39" s="14">
        <v>0.209554</v>
      </c>
      <c r="F39" s="15">
        <v>1.27364</v>
      </c>
      <c r="G39" s="14">
        <v>0.132303</v>
      </c>
      <c r="H39" s="15">
        <v>1.2643</v>
      </c>
      <c r="I39" s="14">
        <v>0.129863</v>
      </c>
      <c r="J39" s="15">
        <v>0.38975</v>
      </c>
      <c r="K39" s="14">
        <v>0.120266</v>
      </c>
      <c r="L39" s="15">
        <v>0.38728</v>
      </c>
      <c r="M39" s="14">
        <v>0.119892</v>
      </c>
      <c r="N39" s="15">
        <v>0.261646</v>
      </c>
      <c r="O39" s="14">
        <v>0.0400688</v>
      </c>
      <c r="P39" s="15">
        <v>0.188939</v>
      </c>
      <c r="Q39" s="14">
        <v>0.0773796</v>
      </c>
      <c r="R39" s="15">
        <v>0.252455</v>
      </c>
      <c r="S39" s="14">
        <v>0.0680663</v>
      </c>
      <c r="T39" s="15">
        <v>0.154084</v>
      </c>
      <c r="U39" s="14">
        <v>0.067992</v>
      </c>
    </row>
    <row r="40">
      <c r="A40" s="7">
        <v>14.0</v>
      </c>
      <c r="B40" s="2">
        <v>2.21276</v>
      </c>
      <c r="C40" s="14">
        <v>0.63617</v>
      </c>
      <c r="D40" s="15">
        <v>1.8892</v>
      </c>
      <c r="E40" s="14">
        <v>0.209647</v>
      </c>
      <c r="F40" s="15">
        <v>1.27447</v>
      </c>
      <c r="G40" s="14">
        <v>0.132538</v>
      </c>
      <c r="H40" s="15">
        <v>1.26568</v>
      </c>
      <c r="I40" s="14">
        <v>0.13013</v>
      </c>
      <c r="J40" s="15">
        <v>0.390256</v>
      </c>
      <c r="K40" s="14">
        <v>0.120445</v>
      </c>
      <c r="L40" s="15">
        <v>0.387501</v>
      </c>
      <c r="M40" s="14">
        <v>0.119899</v>
      </c>
      <c r="N40" s="15">
        <v>0.261907</v>
      </c>
      <c r="O40" s="14">
        <v>0.0401716</v>
      </c>
      <c r="P40" s="15">
        <v>0.189108</v>
      </c>
      <c r="Q40" s="14">
        <v>0.0777487</v>
      </c>
      <c r="R40" s="15">
        <v>0.252794</v>
      </c>
      <c r="S40" s="14">
        <v>0.0682037</v>
      </c>
      <c r="T40" s="15">
        <v>0.154306</v>
      </c>
      <c r="U40" s="14">
        <v>0.0681895</v>
      </c>
    </row>
    <row r="41">
      <c r="A41" s="7">
        <v>15.0</v>
      </c>
      <c r="B41" s="2">
        <v>2.21909</v>
      </c>
      <c r="C41" s="14">
        <v>0.638529</v>
      </c>
      <c r="D41" s="15">
        <v>1.88925</v>
      </c>
      <c r="E41" s="14">
        <v>0.210103</v>
      </c>
      <c r="F41" s="15">
        <v>1.27494</v>
      </c>
      <c r="G41" s="14">
        <v>0.133619</v>
      </c>
      <c r="H41" s="15">
        <v>1.26803</v>
      </c>
      <c r="I41" s="14">
        <v>0.130234</v>
      </c>
      <c r="J41" s="15">
        <v>0.390534</v>
      </c>
      <c r="K41" s="14">
        <v>0.120456</v>
      </c>
      <c r="L41" s="15">
        <v>0.389336</v>
      </c>
      <c r="M41" s="14">
        <v>0.119907</v>
      </c>
      <c r="N41" s="15">
        <v>0.262406</v>
      </c>
      <c r="O41" s="14">
        <v>0.0403909</v>
      </c>
      <c r="P41" s="15">
        <v>0.189483</v>
      </c>
      <c r="Q41" s="14">
        <v>0.0777525</v>
      </c>
      <c r="R41" s="15">
        <v>0.252824</v>
      </c>
      <c r="S41" s="14">
        <v>0.0682325</v>
      </c>
      <c r="T41" s="15">
        <v>0.154355</v>
      </c>
      <c r="U41" s="14">
        <v>0.0682252</v>
      </c>
    </row>
    <row r="42">
      <c r="A42" s="7">
        <v>16.0</v>
      </c>
      <c r="B42" s="2">
        <v>2.22699</v>
      </c>
      <c r="C42" s="14">
        <v>0.641552</v>
      </c>
      <c r="D42" s="15">
        <v>1.8903</v>
      </c>
      <c r="E42" s="14">
        <v>0.210139</v>
      </c>
      <c r="F42" s="15">
        <v>1.27517</v>
      </c>
      <c r="G42" s="14">
        <v>0.13379</v>
      </c>
      <c r="H42" s="15">
        <v>1.27668</v>
      </c>
      <c r="I42" s="14">
        <v>0.130308</v>
      </c>
      <c r="J42" s="15">
        <v>0.390952</v>
      </c>
      <c r="K42" s="14">
        <v>0.120745</v>
      </c>
      <c r="L42" s="15">
        <v>0.389561</v>
      </c>
      <c r="M42" s="14">
        <v>0.11998</v>
      </c>
      <c r="N42" s="15">
        <v>0.262421</v>
      </c>
      <c r="O42" s="14">
        <v>0.0405032</v>
      </c>
      <c r="P42" s="15">
        <v>0.18987</v>
      </c>
      <c r="Q42" s="14">
        <v>0.0778473</v>
      </c>
      <c r="R42" s="15">
        <v>0.25352</v>
      </c>
      <c r="S42" s="14">
        <v>0.0686412</v>
      </c>
      <c r="T42" s="15">
        <v>0.15449</v>
      </c>
      <c r="U42" s="14">
        <v>0.0682997</v>
      </c>
    </row>
    <row r="43">
      <c r="A43" s="7">
        <v>17.0</v>
      </c>
      <c r="B43" s="2">
        <v>2.22805</v>
      </c>
      <c r="C43" s="14">
        <v>0.644266</v>
      </c>
      <c r="D43" s="15">
        <v>1.89178</v>
      </c>
      <c r="E43" s="14">
        <v>0.210285</v>
      </c>
      <c r="F43" s="15">
        <v>1.27518</v>
      </c>
      <c r="G43" s="14">
        <v>0.134171</v>
      </c>
      <c r="H43" s="15">
        <v>1.30162</v>
      </c>
      <c r="I43" s="14">
        <v>0.130438</v>
      </c>
      <c r="J43" s="15">
        <v>0.39187</v>
      </c>
      <c r="K43" s="14">
        <v>0.120762</v>
      </c>
      <c r="L43" s="15">
        <v>0.391118</v>
      </c>
      <c r="M43" s="14">
        <v>0.12003</v>
      </c>
      <c r="N43" s="15">
        <v>0.263376</v>
      </c>
      <c r="O43" s="14">
        <v>0.0407903</v>
      </c>
      <c r="P43" s="15">
        <v>0.19025</v>
      </c>
      <c r="Q43" s="14">
        <v>0.0778653</v>
      </c>
      <c r="R43" s="15">
        <v>0.254475</v>
      </c>
      <c r="S43" s="14">
        <v>0.069019</v>
      </c>
      <c r="T43" s="15">
        <v>0.154638</v>
      </c>
      <c r="U43" s="14">
        <v>0.0684511</v>
      </c>
    </row>
    <row r="44">
      <c r="A44" s="7">
        <v>18.0</v>
      </c>
      <c r="B44" s="2">
        <v>2.22853</v>
      </c>
      <c r="C44" s="14">
        <v>0.659573</v>
      </c>
      <c r="D44" s="15">
        <v>1.89455</v>
      </c>
      <c r="E44" s="14">
        <v>0.210302</v>
      </c>
      <c r="F44" s="15">
        <v>1.27999</v>
      </c>
      <c r="G44" s="14">
        <v>0.135645</v>
      </c>
      <c r="H44" s="15">
        <v>1.30284</v>
      </c>
      <c r="I44" s="14">
        <v>0.130748</v>
      </c>
      <c r="J44" s="15">
        <v>0.392285</v>
      </c>
      <c r="K44" s="14">
        <v>0.121556</v>
      </c>
      <c r="L44" s="15">
        <v>0.392746</v>
      </c>
      <c r="M44" s="14">
        <v>0.120421</v>
      </c>
      <c r="N44" s="15">
        <v>0.264023</v>
      </c>
      <c r="O44" s="14">
        <v>0.0408586</v>
      </c>
      <c r="P44" s="15">
        <v>0.190256</v>
      </c>
      <c r="Q44" s="14">
        <v>0.0779782</v>
      </c>
      <c r="R44" s="15">
        <v>0.254689</v>
      </c>
      <c r="S44" s="14">
        <v>0.0690683</v>
      </c>
      <c r="T44" s="15">
        <v>0.155256</v>
      </c>
      <c r="U44" s="14">
        <v>0.068855</v>
      </c>
    </row>
    <row r="45">
      <c r="A45" s="7">
        <v>19.0</v>
      </c>
      <c r="B45" s="2">
        <v>2.23864</v>
      </c>
      <c r="C45" s="14">
        <v>0.660188</v>
      </c>
      <c r="D45" s="15">
        <v>1.89682</v>
      </c>
      <c r="E45" s="14">
        <v>0.210445</v>
      </c>
      <c r="F45" s="15">
        <v>1.28007</v>
      </c>
      <c r="G45" s="14">
        <v>0.136853</v>
      </c>
      <c r="H45" s="15">
        <v>1.36042</v>
      </c>
      <c r="I45" s="14">
        <v>0.132011</v>
      </c>
      <c r="J45" s="15">
        <v>0.393833</v>
      </c>
      <c r="K45" s="14">
        <v>0.121686</v>
      </c>
      <c r="L45" s="15">
        <v>0.394826</v>
      </c>
      <c r="M45" s="14">
        <v>0.120559</v>
      </c>
      <c r="N45" s="15">
        <v>0.26457</v>
      </c>
      <c r="O45" s="14">
        <v>0.0410632</v>
      </c>
      <c r="P45" s="15">
        <v>0.191871</v>
      </c>
      <c r="Q45" s="14">
        <v>0.0783797</v>
      </c>
      <c r="R45" s="15">
        <v>0.258479</v>
      </c>
      <c r="S45" s="14">
        <v>0.0694867</v>
      </c>
      <c r="T45" s="15">
        <v>0.155497</v>
      </c>
      <c r="U45" s="14">
        <v>0.0688638</v>
      </c>
    </row>
    <row r="46">
      <c r="A46" s="7">
        <v>20.0</v>
      </c>
      <c r="B46" s="2">
        <v>2.34786</v>
      </c>
      <c r="C46" s="14">
        <v>0.850661</v>
      </c>
      <c r="D46" s="15">
        <v>1.89737</v>
      </c>
      <c r="E46" s="14">
        <v>0.211725</v>
      </c>
      <c r="F46" s="15">
        <v>1.29115</v>
      </c>
      <c r="G46" s="14">
        <v>0.150949</v>
      </c>
      <c r="H46" s="15">
        <v>1.39447</v>
      </c>
      <c r="I46" s="14">
        <v>0.139446</v>
      </c>
      <c r="J46" s="15">
        <v>0.493698</v>
      </c>
      <c r="K46" s="14">
        <v>0.12194</v>
      </c>
      <c r="L46" s="15">
        <v>0.398278</v>
      </c>
      <c r="M46" s="14">
        <v>0.121354</v>
      </c>
      <c r="N46" s="15">
        <v>0.264897</v>
      </c>
      <c r="O46" s="14">
        <v>0.0415172</v>
      </c>
      <c r="P46" s="15">
        <v>0.19592</v>
      </c>
      <c r="Q46" s="14">
        <v>0.0788386</v>
      </c>
      <c r="R46" s="15">
        <v>0.262791</v>
      </c>
      <c r="S46" s="14">
        <v>0.0699682</v>
      </c>
      <c r="T46" s="15">
        <v>0.158359</v>
      </c>
      <c r="U46" s="14">
        <v>0.0703753</v>
      </c>
    </row>
    <row r="47">
      <c r="A47" s="5" t="s">
        <v>7</v>
      </c>
      <c r="B47" s="16">
        <f t="shared" ref="B47:U47" si="2">AVERAGE(B28:B45)</f>
        <v>2.213521111</v>
      </c>
      <c r="C47" s="16">
        <f t="shared" si="2"/>
        <v>0.6304278889</v>
      </c>
      <c r="D47" s="16">
        <f t="shared" si="2"/>
        <v>1.888179444</v>
      </c>
      <c r="E47" s="16">
        <f t="shared" si="2"/>
        <v>0.2092775556</v>
      </c>
      <c r="F47" s="16">
        <f t="shared" si="2"/>
        <v>1.273786667</v>
      </c>
      <c r="G47" s="16">
        <f t="shared" si="2"/>
        <v>0.1283058333</v>
      </c>
      <c r="H47" s="16">
        <f t="shared" si="2"/>
        <v>1.272823889</v>
      </c>
      <c r="I47" s="16">
        <f t="shared" si="2"/>
        <v>0.1298221111</v>
      </c>
      <c r="J47" s="16">
        <f t="shared" si="2"/>
        <v>0.3896073889</v>
      </c>
      <c r="K47" s="16">
        <f t="shared" si="2"/>
        <v>0.1200731111</v>
      </c>
      <c r="L47" s="16">
        <f t="shared" si="2"/>
        <v>0.3873356667</v>
      </c>
      <c r="M47" s="16">
        <f t="shared" si="2"/>
        <v>0.119498</v>
      </c>
      <c r="N47" s="16">
        <f t="shared" si="2"/>
        <v>0.2614654444</v>
      </c>
      <c r="O47" s="16">
        <f t="shared" si="2"/>
        <v>0.03999021111</v>
      </c>
      <c r="P47" s="16">
        <f t="shared" si="2"/>
        <v>0.1890190556</v>
      </c>
      <c r="Q47" s="17">
        <f t="shared" si="2"/>
        <v>0.07716893889</v>
      </c>
      <c r="R47" s="16">
        <f t="shared" si="2"/>
        <v>0.2522210556</v>
      </c>
      <c r="S47" s="17">
        <f t="shared" si="2"/>
        <v>0.06794993333</v>
      </c>
      <c r="T47" s="16">
        <f t="shared" si="2"/>
        <v>0.1538122222</v>
      </c>
      <c r="U47" s="17">
        <f t="shared" si="2"/>
        <v>0.06775663889</v>
      </c>
    </row>
    <row r="48">
      <c r="A48" s="5" t="s">
        <v>8</v>
      </c>
      <c r="B48" s="18">
        <f t="shared" ref="B48:U48" si="3">STDEV(B28:B45)</f>
        <v>0.01033123299</v>
      </c>
      <c r="C48" s="18">
        <f t="shared" si="3"/>
        <v>0.01608748581</v>
      </c>
      <c r="D48" s="18">
        <f t="shared" si="3"/>
        <v>0.003507035739</v>
      </c>
      <c r="E48" s="18">
        <f t="shared" si="3"/>
        <v>0.0007379028489</v>
      </c>
      <c r="F48" s="18">
        <f t="shared" si="3"/>
        <v>0.002640617129</v>
      </c>
      <c r="G48" s="18">
        <f t="shared" si="3"/>
        <v>0.00657776347</v>
      </c>
      <c r="H48" s="18">
        <f t="shared" si="3"/>
        <v>0.0255687544</v>
      </c>
      <c r="I48" s="18">
        <f t="shared" si="3"/>
        <v>0.0007676245934</v>
      </c>
      <c r="J48" s="18">
        <f t="shared" si="3"/>
        <v>0.001807540257</v>
      </c>
      <c r="K48" s="18">
        <f t="shared" si="3"/>
        <v>0.0008070961667</v>
      </c>
      <c r="L48" s="18">
        <f t="shared" si="3"/>
        <v>0.002991665678</v>
      </c>
      <c r="M48" s="18">
        <f t="shared" si="3"/>
        <v>0.0006203878294</v>
      </c>
      <c r="N48" s="18">
        <f t="shared" si="3"/>
        <v>0.001468765237</v>
      </c>
      <c r="O48" s="18">
        <f t="shared" si="3"/>
        <v>0.0005468215774</v>
      </c>
      <c r="P48" s="18">
        <f t="shared" si="3"/>
        <v>0.001035513256</v>
      </c>
      <c r="Q48" s="19">
        <f t="shared" si="3"/>
        <v>0.000662769615</v>
      </c>
      <c r="R48" s="18">
        <f t="shared" si="3"/>
        <v>0.002073819678</v>
      </c>
      <c r="S48" s="19">
        <f t="shared" si="3"/>
        <v>0.0007273863768</v>
      </c>
      <c r="T48" s="18">
        <f t="shared" si="3"/>
        <v>0.0008034768239</v>
      </c>
      <c r="U48" s="19">
        <f t="shared" si="3"/>
        <v>0.0006520932982</v>
      </c>
    </row>
    <row r="49">
      <c r="A49" s="2" t="s">
        <v>9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>
      <c r="B50" s="1">
        <v>0.0</v>
      </c>
      <c r="C50" s="1">
        <v>1.0</v>
      </c>
      <c r="D50" s="1">
        <v>2.0</v>
      </c>
      <c r="E50" s="1">
        <v>3.0</v>
      </c>
      <c r="F50" s="1">
        <v>4.0</v>
      </c>
      <c r="G50" s="1">
        <v>5.0</v>
      </c>
      <c r="H50" s="1">
        <v>6.0</v>
      </c>
      <c r="I50" s="1">
        <v>7.0</v>
      </c>
      <c r="J50" s="1">
        <v>6.1</v>
      </c>
      <c r="K50" s="1">
        <v>7.1</v>
      </c>
    </row>
    <row r="51">
      <c r="A51" s="1" t="s">
        <v>10</v>
      </c>
      <c r="B51" s="20">
        <f t="array" ref="B51:K51">CHOOSECOLS(B47:U47, 1,3,5,7,9,11,13,15,17,19)</f>
        <v>2.213521111</v>
      </c>
      <c r="C51" s="20">
        <v>1.8881794444444442</v>
      </c>
      <c r="D51" s="20">
        <v>1.2737866666666666</v>
      </c>
      <c r="E51" s="20">
        <v>1.272823888888889</v>
      </c>
      <c r="F51" s="20">
        <v>0.38960738888888885</v>
      </c>
      <c r="G51" s="20">
        <v>0.38733566666666663</v>
      </c>
      <c r="H51" s="20">
        <v>0.2614654444444444</v>
      </c>
      <c r="I51" s="20">
        <v>0.18901905555555557</v>
      </c>
      <c r="J51" s="20">
        <v>0.2522210555555556</v>
      </c>
      <c r="K51" s="20">
        <v>0.1538122222222222</v>
      </c>
    </row>
    <row r="52">
      <c r="A52" s="1" t="s">
        <v>11</v>
      </c>
      <c r="B52" s="20">
        <f t="array" ref="B52:K52">CHOOSECOLS(B47:U47, 2,4,6,8,10,12,14,16,18,20)</f>
        <v>0.6304278889</v>
      </c>
      <c r="C52" s="20">
        <v>0.20927755555555555</v>
      </c>
      <c r="D52" s="20">
        <v>0.1283058333333333</v>
      </c>
      <c r="E52" s="20">
        <v>0.1298221111111111</v>
      </c>
      <c r="F52" s="20">
        <v>0.1200731111111111</v>
      </c>
      <c r="G52" s="20">
        <v>0.11949800000000001</v>
      </c>
      <c r="H52" s="20">
        <v>0.039990211111111104</v>
      </c>
      <c r="I52" s="20">
        <v>0.07716893888888889</v>
      </c>
      <c r="J52" s="1">
        <v>0.06794993333333334</v>
      </c>
      <c r="K52" s="20">
        <v>0.0677566388888889</v>
      </c>
    </row>
    <row r="53">
      <c r="A53" s="1" t="s">
        <v>12</v>
      </c>
      <c r="B53" s="20">
        <f t="array" ref="B53:K53">CHOOSECOLS(B48:U48, 1,3,5,7,9,11,13,15,17,19)</f>
        <v>0.01033123299</v>
      </c>
      <c r="C53" s="20">
        <v>0.003507035738797491</v>
      </c>
      <c r="D53" s="20">
        <v>0.0026406171292955543</v>
      </c>
      <c r="E53" s="20">
        <v>0.02556875440129972</v>
      </c>
      <c r="F53" s="20">
        <v>0.001807540257102353</v>
      </c>
      <c r="G53" s="20">
        <v>0.002991665678081678</v>
      </c>
      <c r="H53" s="20">
        <v>0.001468765236605721</v>
      </c>
      <c r="I53" s="20">
        <v>0.0010355132556439885</v>
      </c>
      <c r="J53" s="20">
        <v>0.002073819677685486</v>
      </c>
      <c r="K53" s="20">
        <v>8.034768238947109E-4</v>
      </c>
    </row>
    <row r="54">
      <c r="A54" s="1" t="s">
        <v>13</v>
      </c>
      <c r="B54" s="20">
        <f t="array" ref="B54:K54">CHOOSECOLS(B48:U48, 2,4,6,8,10,12,14,16,18,20)</f>
        <v>0.01608748581</v>
      </c>
      <c r="C54" s="20">
        <v>7.379028488758341E-4</v>
      </c>
      <c r="D54" s="20">
        <v>0.0065777634698053755</v>
      </c>
      <c r="E54" s="20">
        <v>7.676245933657168E-4</v>
      </c>
      <c r="F54" s="20">
        <v>8.070961666506777E-4</v>
      </c>
      <c r="G54" s="20">
        <v>6.203878293644542E-4</v>
      </c>
      <c r="H54" s="20">
        <v>5.468215774055952E-4</v>
      </c>
      <c r="I54" s="20">
        <v>6.627696149615986E-4</v>
      </c>
      <c r="J54" s="20">
        <v>7.27386376815284E-4</v>
      </c>
      <c r="K54" s="20">
        <v>6.520932982136526E-4</v>
      </c>
    </row>
    <row r="55">
      <c r="A55" s="1" t="s">
        <v>14</v>
      </c>
      <c r="B55" s="1">
        <v>0.0</v>
      </c>
      <c r="C55" s="1">
        <f t="shared" ref="C55:C56" si="4">B51/C51</f>
        <v>1.172304421</v>
      </c>
      <c r="D55" s="20">
        <f t="shared" ref="D55:D56" si="5">B51/D51</f>
        <v>1.73774869</v>
      </c>
      <c r="E55" s="20">
        <f t="shared" ref="E55:E56" si="6">B51/E51</f>
        <v>1.739063142</v>
      </c>
      <c r="F55" s="20">
        <f t="shared" ref="F55:F56" si="7">B51/F51</f>
        <v>5.681414609</v>
      </c>
      <c r="G55" s="20">
        <f t="shared" ref="G55:G56" si="8">B51/G51</f>
        <v>5.714736084</v>
      </c>
      <c r="H55" s="20">
        <f t="shared" ref="H55:H56" si="9">B51/H51</f>
        <v>8.465826587</v>
      </c>
      <c r="I55" s="20">
        <f t="shared" ref="I55:I56" si="10">B51/I51</f>
        <v>11.71057122</v>
      </c>
      <c r="J55" s="20">
        <f t="shared" ref="J55:J56" si="11">B51/J51</f>
        <v>8.776115484</v>
      </c>
      <c r="K55" s="20">
        <f t="shared" ref="K55:K56" si="12">B51/K51</f>
        <v>14.39106125</v>
      </c>
    </row>
    <row r="56">
      <c r="A56" s="1" t="s">
        <v>15</v>
      </c>
      <c r="B56" s="1">
        <v>0.0</v>
      </c>
      <c r="C56" s="1">
        <f t="shared" si="4"/>
        <v>3.012400863</v>
      </c>
      <c r="D56" s="20">
        <f t="shared" si="5"/>
        <v>4.913477996</v>
      </c>
      <c r="E56" s="20">
        <f t="shared" si="6"/>
        <v>4.856090257</v>
      </c>
      <c r="F56" s="20">
        <f t="shared" si="7"/>
        <v>5.250366906</v>
      </c>
      <c r="G56" s="20">
        <f t="shared" si="8"/>
        <v>5.275635483</v>
      </c>
      <c r="H56" s="20">
        <f t="shared" si="9"/>
        <v>15.76455516</v>
      </c>
      <c r="I56" s="20">
        <f t="shared" si="10"/>
        <v>8.16945131</v>
      </c>
      <c r="J56" s="20">
        <f t="shared" si="11"/>
        <v>9.277829395</v>
      </c>
      <c r="K56" s="20">
        <f t="shared" si="12"/>
        <v>9.304296955</v>
      </c>
    </row>
  </sheetData>
  <mergeCells count="21">
    <mergeCell ref="P2:Q2"/>
    <mergeCell ref="R2:S2"/>
    <mergeCell ref="T2:U2"/>
    <mergeCell ref="B2:C2"/>
    <mergeCell ref="D2:E2"/>
    <mergeCell ref="F2:G2"/>
    <mergeCell ref="H2:I2"/>
    <mergeCell ref="J2:K2"/>
    <mergeCell ref="L2:M2"/>
    <mergeCell ref="N2:O2"/>
    <mergeCell ref="P25:Q25"/>
    <mergeCell ref="R25:S25"/>
    <mergeCell ref="T25:U25"/>
    <mergeCell ref="B25:C25"/>
    <mergeCell ref="D25:E25"/>
    <mergeCell ref="F25:G25"/>
    <mergeCell ref="H25:I25"/>
    <mergeCell ref="J25:K25"/>
    <mergeCell ref="L25:M25"/>
    <mergeCell ref="N25:O25"/>
    <mergeCell ref="A49:C49"/>
  </mergeCells>
  <drawing r:id="rId1"/>
</worksheet>
</file>
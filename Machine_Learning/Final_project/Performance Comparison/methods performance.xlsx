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Χριστόδουλος\Desktop\ML project\"/>
    </mc:Choice>
  </mc:AlternateContent>
  <xr:revisionPtr revIDLastSave="0" documentId="13_ncr:1_{79B9A132-0387-4296-BA9D-6B8B9472AFBF}" xr6:coauthVersionLast="47" xr6:coauthVersionMax="47" xr10:uidLastSave="{00000000-0000-0000-0000-000000000000}"/>
  <bookViews>
    <workbookView xWindow="3384" yWindow="3384" windowWidth="17280" windowHeight="9072" xr2:uid="{CCC07713-1EF2-4F6B-B6E1-9E04BED79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D7" i="1"/>
  <c r="F8" i="1"/>
  <c r="F7" i="1"/>
  <c r="E8" i="1"/>
  <c r="E7" i="1"/>
  <c r="D8" i="1"/>
  <c r="C8" i="1"/>
  <c r="B8" i="1"/>
</calcChain>
</file>

<file path=xl/sharedStrings.xml><?xml version="1.0" encoding="utf-8"?>
<sst xmlns="http://schemas.openxmlformats.org/spreadsheetml/2006/main" count="15" uniqueCount="15">
  <si>
    <t>GBM</t>
  </si>
  <si>
    <t>XGBOOST</t>
  </si>
  <si>
    <t>GRU</t>
  </si>
  <si>
    <t>TRANSFORMERS</t>
  </si>
  <si>
    <t>LSTM</t>
  </si>
  <si>
    <t>CNN</t>
  </si>
  <si>
    <t>RMSE</t>
  </si>
  <si>
    <t>MAE</t>
  </si>
  <si>
    <t>MAPE</t>
  </si>
  <si>
    <t>R^2</t>
  </si>
  <si>
    <t>R</t>
  </si>
  <si>
    <t>r</t>
  </si>
  <si>
    <t>Memory</t>
  </si>
  <si>
    <t>s/epoch</t>
  </si>
  <si>
    <t>Total_time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</si>
</sst>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Sheet1!$B$2:$G$2</c:f>
              <c:numCache>
                <c:formatCode>0.00</c:formatCode>
                <c:ptCount val="6"/>
                <c:pt idx="0">
                  <c:v>8.1534934496118296</c:v>
                </c:pt>
                <c:pt idx="1">
                  <c:v>10.639131481552701</c:v>
                </c:pt>
                <c:pt idx="2">
                  <c:v>9.6987000000000005</c:v>
                </c:pt>
                <c:pt idx="3">
                  <c:v>10.050000000000001</c:v>
                </c:pt>
                <c:pt idx="4">
                  <c:v>9.6667000000000005</c:v>
                </c:pt>
                <c:pt idx="5">
                  <c:v>13.03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E-4912-89EA-76B4430353C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Sheet1!$B$3:$G$3</c:f>
              <c:numCache>
                <c:formatCode>0.00</c:formatCode>
                <c:ptCount val="6"/>
                <c:pt idx="0">
                  <c:v>4.32164189463351</c:v>
                </c:pt>
                <c:pt idx="1">
                  <c:v>7.1694652361747497</c:v>
                </c:pt>
                <c:pt idx="2">
                  <c:v>7.6837999999999997</c:v>
                </c:pt>
                <c:pt idx="3">
                  <c:v>8.4600000000000009</c:v>
                </c:pt>
                <c:pt idx="4">
                  <c:v>7.7911999999999999</c:v>
                </c:pt>
                <c:pt idx="5">
                  <c:v>10.196999999999999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E-4912-89EA-76B4430353C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Sheet1!$B$4:$G$4</c:f>
              <c:numCache>
                <c:formatCode>0.00</c:formatCode>
                <c:ptCount val="6"/>
                <c:pt idx="0">
                  <c:v>8.2158868852933793</c:v>
                </c:pt>
                <c:pt idx="1">
                  <c:v>14.858014428135199</c:v>
                </c:pt>
                <c:pt idx="2">
                  <c:v>16.48</c:v>
                </c:pt>
                <c:pt idx="3">
                  <c:v>16.34</c:v>
                </c:pt>
                <c:pt idx="4">
                  <c:v>14.67</c:v>
                </c:pt>
                <c:pt idx="5">
                  <c:v>22.41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E-4912-89EA-76B4430353C1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R^2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Sheet1!$B$5:$G$5</c:f>
              <c:numCache>
                <c:formatCode>0.00</c:formatCode>
                <c:ptCount val="6"/>
                <c:pt idx="0">
                  <c:v>0.44745764091046503</c:v>
                </c:pt>
                <c:pt idx="1">
                  <c:v>5.9214800464668003E-2</c:v>
                </c:pt>
                <c:pt idx="2">
                  <c:v>-2.5600000000000001E-2</c:v>
                </c:pt>
                <c:pt idx="3">
                  <c:v>-4.0000000000000001E-3</c:v>
                </c:pt>
                <c:pt idx="4">
                  <c:v>-0.30719999999999997</c:v>
                </c:pt>
                <c:pt idx="5">
                  <c:v>-0.253941779136657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E-4912-89EA-76B443035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434527"/>
        <c:axId val="1734426847"/>
      </c:barChart>
      <c:catAx>
        <c:axId val="17344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426847"/>
        <c:crosses val="autoZero"/>
        <c:auto val="1"/>
        <c:lblAlgn val="ctr"/>
        <c:lblOffset val="100"/>
        <c:noMultiLvlLbl val="0"/>
      </c:catAx>
      <c:valAx>
        <c:axId val="17344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43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</a:t>
            </a:r>
            <a:r>
              <a:rPr lang="en-US" baseline="0"/>
              <a:t> time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Total_time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Sheet1!$B$6:$G$6</c:f>
              <c:numCache>
                <c:formatCode>0.00</c:formatCode>
                <c:ptCount val="6"/>
                <c:pt idx="0">
                  <c:v>0.24077580000000001</c:v>
                </c:pt>
                <c:pt idx="1">
                  <c:v>0.27013229999999999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7-4B9A-A8A8-71B011FF6CDE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s/epoch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Sheet1!$B$7:$G$7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0.21681740000000002</c:v>
                </c:pt>
                <c:pt idx="3">
                  <c:v>0.93615945000000012</c:v>
                </c:pt>
                <c:pt idx="4">
                  <c:v>0.2426876</c:v>
                </c:pt>
                <c:pt idx="5">
                  <c:v>0.38058800000000004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C7-4B9A-A8A8-71B011FF6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66304"/>
        <c:axId val="1001667744"/>
      </c:barChart>
      <c:catAx>
        <c:axId val="10016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1667744"/>
        <c:crosses val="autoZero"/>
        <c:auto val="1"/>
        <c:lblAlgn val="ctr"/>
        <c:lblOffset val="100"/>
        <c:noMultiLvlLbl val="0"/>
      </c:catAx>
      <c:valAx>
        <c:axId val="10016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16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GBM</c:v>
                </c:pt>
                <c:pt idx="1">
                  <c:v>XGBOOST</c:v>
                </c:pt>
                <c:pt idx="2">
                  <c:v>GRU</c:v>
                </c:pt>
                <c:pt idx="3">
                  <c:v>TRANSFORMERS</c:v>
                </c:pt>
                <c:pt idx="4">
                  <c:v>LSTM</c:v>
                </c:pt>
                <c:pt idx="5">
                  <c:v>CNN</c:v>
                </c:pt>
              </c:strCache>
            </c:strRef>
          </c:cat>
          <c:val>
            <c:numRef>
              <c:f>Sheet1!$B$8:$G$8</c:f>
              <c:numCache>
                <c:formatCode>0.00</c:formatCode>
                <c:ptCount val="6"/>
                <c:pt idx="0">
                  <c:v>197.333984375</c:v>
                </c:pt>
                <c:pt idx="1">
                  <c:v>87.78515625</c:v>
                </c:pt>
                <c:pt idx="2">
                  <c:v>7582.08203125</c:v>
                </c:pt>
                <c:pt idx="3">
                  <c:v>14370.0927734375</c:v>
                </c:pt>
                <c:pt idx="4">
                  <c:v>6437.259765625</c:v>
                </c:pt>
                <c:pt idx="5">
                  <c:v>5294.5341796875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9-4EEC-BC1F-746F6FCC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401808"/>
        <c:axId val="999399888"/>
      </c:barChart>
      <c:catAx>
        <c:axId val="9994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9399888"/>
        <c:crosses val="autoZero"/>
        <c:auto val="1"/>
        <c:lblAlgn val="ctr"/>
        <c:lblOffset val="100"/>
        <c:noMultiLvlLbl val="0"/>
      </c:catAx>
      <c:valAx>
        <c:axId val="9993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940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512618</xdr:colOff>
      <xdr:row>13</xdr:row>
      <xdr:rowOff>13855</xdr:rowOff>
    </xdr:from>
    <xdr:to>
      <xdr:col>24</xdr:col>
      <xdr:colOff>365759</xdr:colOff>
      <xdr:row>27</xdr:row>
      <xdr:rowOff>85500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73B060-B866-6A4E-34CB-3A44E1750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859971</xdr:colOff>
      <xdr:row>13</xdr:row>
      <xdr:rowOff>16329</xdr:rowOff>
    </xdr:from>
    <xdr:to>
      <xdr:col>8</xdr:col>
      <xdr:colOff>10885</xdr:colOff>
      <xdr:row>27</xdr:row>
      <xdr:rowOff>114301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15E7F360-93E7-83EF-0C8E-4EF769289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261257</xdr:colOff>
      <xdr:row>12</xdr:row>
      <xdr:rowOff>179614</xdr:rowOff>
    </xdr:from>
    <xdr:to>
      <xdr:col>15</xdr:col>
      <xdr:colOff>566057</xdr:colOff>
      <xdr:row>27</xdr:row>
      <xdr:rowOff>92529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30BC20A5-D358-0A84-37BD-F68B25582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45A6-A077-40CC-B284-5887D14E4D9C}">
  <dimension ref="A1:G22"/>
  <sheetViews>
    <sheetView tabSelected="1" topLeftCell="F13" zoomScale="85" zoomScaleNormal="85" workbookViewId="0">
      <selection activeCell="H7" sqref="H7"/>
    </sheetView>
  </sheetViews>
  <sheetFormatPr defaultRowHeight="14.4" x14ac:dyDescent="0.3"/>
  <cols>
    <col min="2" max="2" width="20" style="2" bestFit="1" customWidth="1"/>
    <col min="3" max="4" width="8.88671875" style="2"/>
    <col min="5" max="5" width="14.5546875" style="2" bestFit="1" customWidth="1"/>
    <col min="6" max="7" width="8.88671875" style="2"/>
  </cols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6</v>
      </c>
      <c r="B2" s="2">
        <v>8.1534934496118296</v>
      </c>
      <c r="C2" s="2">
        <v>10.639131481552701</v>
      </c>
      <c r="D2" s="2">
        <v>9.6987000000000005</v>
      </c>
      <c r="E2" s="2">
        <v>10.050000000000001</v>
      </c>
      <c r="F2" s="2">
        <v>9.6667000000000005</v>
      </c>
      <c r="G2" s="2">
        <v>13.03</v>
      </c>
    </row>
    <row r="3" spans="1:7" x14ac:dyDescent="0.3">
      <c r="A3" t="s">
        <v>7</v>
      </c>
      <c r="B3" s="2">
        <v>4.32164189463351</v>
      </c>
      <c r="C3" s="2">
        <v>7.1694652361747497</v>
      </c>
      <c r="D3" s="2">
        <v>7.6837999999999997</v>
      </c>
      <c r="E3" s="2">
        <v>8.4600000000000009</v>
      </c>
      <c r="F3" s="2">
        <v>7.7911999999999999</v>
      </c>
      <c r="G3" s="2">
        <v>10.196999999999999</v>
      </c>
    </row>
    <row r="4" spans="1:7" x14ac:dyDescent="0.3">
      <c r="A4" t="s">
        <v>8</v>
      </c>
      <c r="B4" s="2">
        <v>8.2158868852933793</v>
      </c>
      <c r="C4" s="2">
        <v>14.858014428135199</v>
      </c>
      <c r="D4" s="2">
        <v>16.48</v>
      </c>
      <c r="E4" s="2">
        <v>16.34</v>
      </c>
      <c r="F4" s="2">
        <v>14.67</v>
      </c>
      <c r="G4" s="2">
        <v>22.41</v>
      </c>
    </row>
    <row r="5" spans="1:7" x14ac:dyDescent="0.3">
      <c r="A5" t="s">
        <v>9</v>
      </c>
      <c r="B5" s="2">
        <v>0.44745764091046503</v>
      </c>
      <c r="C5" s="2">
        <v>5.9214800464668003E-2</v>
      </c>
      <c r="D5" s="2">
        <v>-2.5600000000000001E-2</v>
      </c>
      <c r="E5" s="2">
        <v>-4.0000000000000001E-3</v>
      </c>
      <c r="F5" s="2">
        <v>-0.30719999999999997</v>
      </c>
      <c r="G5" s="2">
        <v>-0.253941779136657</v>
      </c>
    </row>
    <row r="6" spans="1:7" x14ac:dyDescent="0.3">
      <c r="A6" t="s">
        <v>14</v>
      </c>
      <c r="B6" s="2">
        <v>0.24077580000000001</v>
      </c>
      <c r="C6" s="2">
        <v>0.27013229999999999</v>
      </c>
      <c r="D6" s="2">
        <v>0</v>
      </c>
      <c r="E6" s="2">
        <v>0</v>
      </c>
      <c r="F6" s="2">
        <v>0</v>
      </c>
      <c r="G6" s="2">
        <v>0</v>
      </c>
    </row>
    <row r="7" spans="1:7" x14ac:dyDescent="0.3">
      <c r="A7" t="s">
        <v>13</v>
      </c>
      <c r="B7" s="2">
        <v>0</v>
      </c>
      <c r="C7" s="2">
        <v>0</v>
      </c>
      <c r="D7" s="2">
        <f>10.84087/50</f>
        <v>0.21681740000000002</v>
      </c>
      <c r="E7" s="2">
        <f>18.723189/20</f>
        <v>0.93615945000000012</v>
      </c>
      <c r="F7" s="2">
        <f>12.13438/50</f>
        <v>0.2426876</v>
      </c>
      <c r="G7" s="2">
        <f>7.61176/20</f>
        <v>0.38058800000000004</v>
      </c>
    </row>
    <row r="8" spans="1:7" x14ac:dyDescent="0.3">
      <c r="A8" t="s">
        <v>12</v>
      </c>
      <c r="B8" s="2">
        <f>202070/1024</f>
        <v>197.333984375</v>
      </c>
      <c r="C8" s="2">
        <f>89892/1024</f>
        <v>87.78515625</v>
      </c>
      <c r="D8" s="2">
        <f>7764052/1024</f>
        <v>7582.08203125</v>
      </c>
      <c r="E8" s="2">
        <f>14714975/1024</f>
        <v>14370.0927734375</v>
      </c>
      <c r="F8" s="2">
        <f>6591754/1024</f>
        <v>6437.259765625</v>
      </c>
      <c r="G8" s="2">
        <f>5421603/1024</f>
        <v>5294.5341796875</v>
      </c>
    </row>
    <row r="22" spans="1:2" ht="18.600000000000001" customHeight="1" x14ac:dyDescent="4.1500000000000004">
      <c r="A22" s="1" t="s">
        <v>11</v>
      </c>
      <c r="B22" s="2" t="s">
        <v>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683962-4df9-4e3f-9c1b-4d45318ede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FA524B4E09513E4D824B10D67BA6258E" ma:contentTypeVersion="13" ma:contentTypeDescription="Δημιουργία νέου εγγράφου" ma:contentTypeScope="" ma:versionID="4cd046a1c2deccf347489a5b63aa6efb">
  <xsd:schema xmlns:xsd="http://www.w3.org/2001/XMLSchema" xmlns:xs="http://www.w3.org/2001/XMLSchema" xmlns:p="http://schemas.microsoft.com/office/2006/metadata/properties" xmlns:ns3="d4683962-4df9-4e3f-9c1b-4d45318ede14" xmlns:ns4="43aa4c6e-76ce-4134-b45f-0b73ed462d54" targetNamespace="http://schemas.microsoft.com/office/2006/metadata/properties" ma:root="true" ma:fieldsID="8b7716b9ee48c5365d1cc4d4c8841030" ns3:_="" ns4:_="">
    <xsd:import namespace="d4683962-4df9-4e3f-9c1b-4d45318ede14"/>
    <xsd:import namespace="43aa4c6e-76ce-4134-b45f-0b73ed462d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83962-4df9-4e3f-9c1b-4d45318ede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a4c6e-76ce-4134-b45f-0b73ed462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Κοινή χρήση κατακερματισμού υπόδειξης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A36B2-143E-48C9-B2E2-66130A25DB8F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43aa4c6e-76ce-4134-b45f-0b73ed462d54"/>
    <ds:schemaRef ds:uri="http://purl.org/dc/elements/1.1/"/>
    <ds:schemaRef ds:uri="http://schemas.microsoft.com/office/infopath/2007/PartnerControls"/>
    <ds:schemaRef ds:uri="http://schemas.microsoft.com/office/2006/metadata/properties"/>
    <ds:schemaRef ds:uri="d4683962-4df9-4e3f-9c1b-4d45318ede1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460A0D-A3E1-4178-815F-ADA7ABF7B0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370C4A-751E-4FD8-92F0-9DB8C355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83962-4df9-4e3f-9c1b-4d45318ede14"/>
    <ds:schemaRef ds:uri="43aa4c6e-76ce-4134-b45f-0b73ed462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MALAKOUDIS CHARALAMPOS</dc:creator>
  <cp:lastModifiedBy>ZERDALIS CHRISTODOULOS</cp:lastModifiedBy>
  <dcterms:created xsi:type="dcterms:W3CDTF">2025-01-12T15:06:22Z</dcterms:created>
  <dcterms:modified xsi:type="dcterms:W3CDTF">2025-01-13T17:49:37Z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0x010100FA524B4E09513E4D824B10D67BA6258E</vt:lpwstr>
  </property>
</Properties>
</file>